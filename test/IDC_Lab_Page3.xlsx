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Test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EBF3FA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medium">
        <color rgb="00FFFFFF"/>
      </top>
      <bottom style="thin">
        <color rgb="004472C4"/>
      </bottom>
    </border>
    <border>
      <bottom style="thin">
        <color rgb="009DC3E6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 wrapText="1"/>
    </xf>
    <xf numFmtId="0" fontId="7" fillId="6" borderId="5" applyAlignment="1" pivotButton="0" quotePrefix="0" xfId="0">
      <alignment horizontal="left" vertical="center" wrapText="1"/>
    </xf>
    <xf numFmtId="0" fontId="0" fillId="7" borderId="0" pivotButton="0" quotePrefix="0" xfId="0"/>
    <xf numFmtId="0" fontId="6" fillId="8" borderId="5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2" customWidth="1" min="4" max="4"/>
    <col width="20" customWidth="1" min="5" max="5"/>
    <col width="24" customWidth="1" min="6" max="6"/>
    <col width="10" customWidth="1" min="7" max="7"/>
    <col width="10" customWidth="1" min="8" max="8"/>
    <col width="10" customWidth="1" min="9" max="9"/>
    <col width="12" customWidth="1" min="10" max="10"/>
    <col width="28" customWidth="1" min="11" max="11"/>
    <col width="14" customWidth="1" min="12" max="12"/>
    <col width="22" customWidth="1" min="13" max="13"/>
    <col width="22" customWidth="1" min="14" max="14"/>
    <col width="18" customWidth="1" min="15" max="15"/>
    <col width="46" customWidth="1" min="16" max="16"/>
  </cols>
  <sheetData>
    <row r="1" ht="34" customHeight="1">
      <c r="A1" s="1" t="inlineStr">
        <is>
          <t>ISLAMABAD DIAGNOSTIC CENTRE (Pvt) Ltd  |  Lab Management System  |  Test Database — Page 3 (S# 114–173)  |  Parameters &amp; Reference Ranges</t>
        </is>
      </c>
    </row>
    <row r="2" ht="30" customHeight="1">
      <c r="A2" s="2" t="inlineStr">
        <is>
          <t>S.#</t>
        </is>
      </c>
      <c r="B2" s="2" t="inlineStr">
        <is>
          <t>Code</t>
        </is>
      </c>
      <c r="C2" s="2" t="inlineStr">
        <is>
          <t>Test / Profile Name</t>
        </is>
      </c>
      <c r="D2" s="2" t="inlineStr">
        <is>
          <t>Department</t>
        </is>
      </c>
      <c r="E2" s="2" t="inlineStr">
        <is>
          <t>Specimen</t>
        </is>
      </c>
      <c r="F2" s="2" t="inlineStr">
        <is>
          <t>Container / Tube</t>
        </is>
      </c>
      <c r="G2" s="2" t="inlineStr">
        <is>
          <t>Vol</t>
        </is>
      </c>
      <c r="H2" s="2" t="inlineStr">
        <is>
          <t>TAT</t>
        </is>
      </c>
      <c r="I2" s="2" t="inlineStr">
        <is>
          <t>Fasting</t>
        </is>
      </c>
      <c r="J2" s="2" t="inlineStr">
        <is>
          <t>Price (Rs)</t>
        </is>
      </c>
      <c r="K2" s="2" t="inlineStr">
        <is>
          <t>Parameter</t>
        </is>
      </c>
      <c r="L2" s="2" t="inlineStr">
        <is>
          <t>Unit</t>
        </is>
      </c>
      <c r="M2" s="2" t="inlineStr">
        <is>
          <t>Normal (Male)</t>
        </is>
      </c>
      <c r="N2" s="2" t="inlineStr">
        <is>
          <t>Normal (Female)</t>
        </is>
      </c>
      <c r="O2" s="2" t="inlineStr">
        <is>
          <t>Normal (Paed.)</t>
        </is>
      </c>
      <c r="P2" s="2" t="inlineStr">
        <is>
          <t>Critical Values / Clinical Significance</t>
        </is>
      </c>
    </row>
    <row r="3" ht="22" customHeight="1">
      <c r="A3" s="3" t="inlineStr">
        <is>
          <t xml:space="preserve">  [114]  MG  —  Magnesium  |  Dept: Chemistry  |  Price: Rs 900  |  Fasting: No  |  TAT: 4 hrs</t>
        </is>
      </c>
    </row>
    <row r="4" ht="18" customHeight="1">
      <c r="A4" s="4" t="inlineStr">
        <is>
          <t xml:space="preserve">   Specimen: Serum   |   Container: SST (Yellow top)   |   Volume: 3 mL</t>
        </is>
      </c>
    </row>
    <row r="5" ht="18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>
        <is>
          <t>Parameter</t>
        </is>
      </c>
      <c r="L5" s="5" t="inlineStr">
        <is>
          <t>Unit</t>
        </is>
      </c>
      <c r="M5" s="5" t="inlineStr">
        <is>
          <t>Normal Range (Male)</t>
        </is>
      </c>
      <c r="N5" s="5" t="inlineStr">
        <is>
          <t>Normal Range (Female)</t>
        </is>
      </c>
      <c r="O5" s="5" t="inlineStr">
        <is>
          <t>Normal Range (Paediatric)</t>
        </is>
      </c>
      <c r="P5" s="5" t="inlineStr">
        <is>
          <t>Critical Values / Clinical Significance</t>
        </is>
      </c>
    </row>
    <row r="6" ht="32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" t="inlineStr">
        <is>
          <t>Serum Magnesium</t>
        </is>
      </c>
      <c r="L6" s="6" t="inlineStr">
        <is>
          <t>mg/dL</t>
        </is>
      </c>
      <c r="M6" s="6" t="inlineStr">
        <is>
          <t>1.7–2.2</t>
        </is>
      </c>
      <c r="N6" s="6" t="inlineStr">
        <is>
          <t>1.7–2.2</t>
        </is>
      </c>
      <c r="O6" s="6" t="inlineStr">
        <is>
          <t>1.7–2.1</t>
        </is>
      </c>
      <c r="P6" s="6" t="inlineStr">
        <is>
          <t>CRIT &lt; 1.0 or &gt; 4.9 | Low = malnutrition, alcoholism, diarrhoea, loop diuretics, DKA, hypoparathyroidism; High = renal failure, excess Mg intake, Addison's</t>
        </is>
      </c>
    </row>
    <row r="7" ht="6" customHeight="1">
      <c r="A7" s="8" t="n"/>
    </row>
    <row r="8" ht="22" customHeight="1">
      <c r="A8" s="3" t="inlineStr">
        <is>
          <t xml:space="preserve">  [115]  MIC  —  Urine for Microalbumin (Spot)  |  Dept: Chemistry  |  Price: Rs 1,100  |  Fasting: No  |  TAT: 4 hrs</t>
        </is>
      </c>
    </row>
    <row r="9" ht="18" customHeight="1">
      <c r="A9" s="4" t="inlineStr">
        <is>
          <t xml:space="preserve">   Specimen: Spot Urine   |   Container: Plain urine container   |   Volume: 10 mL spot</t>
        </is>
      </c>
    </row>
    <row r="10" ht="18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>
        <is>
          <t>Parameter</t>
        </is>
      </c>
      <c r="L10" s="5" t="inlineStr">
        <is>
          <t>Unit</t>
        </is>
      </c>
      <c r="M10" s="5" t="inlineStr">
        <is>
          <t>Normal Range (Male)</t>
        </is>
      </c>
      <c r="N10" s="5" t="inlineStr">
        <is>
          <t>Normal Range (Female)</t>
        </is>
      </c>
      <c r="O10" s="5" t="inlineStr">
        <is>
          <t>Normal Range (Paediatric)</t>
        </is>
      </c>
      <c r="P10" s="5" t="inlineStr">
        <is>
          <t>Critical Values / Clinical Significance</t>
        </is>
      </c>
    </row>
    <row r="11" ht="32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7" t="inlineStr">
        <is>
          <t>Spot Urine Microalbumin</t>
        </is>
      </c>
      <c r="L11" s="6" t="inlineStr">
        <is>
          <t>mg/L</t>
        </is>
      </c>
      <c r="M11" s="6" t="inlineStr">
        <is>
          <t>&lt; 30</t>
        </is>
      </c>
      <c r="N11" s="6" t="inlineStr">
        <is>
          <t>&lt; 30</t>
        </is>
      </c>
      <c r="O11" s="6" t="inlineStr">
        <is>
          <t>&lt; 30</t>
        </is>
      </c>
      <c r="P11" s="6" t="inlineStr">
        <is>
          <t>CRIT &gt; 300 | &lt; 30 = normal; 30–300 = microalbuminuria (early diabetic/hypertensive nephropathy); &gt; 300 = macroalbuminuria</t>
        </is>
      </c>
    </row>
    <row r="12" ht="3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0" t="inlineStr">
        <is>
          <t>Urine Creatinine (for ratio)</t>
        </is>
      </c>
      <c r="L12" s="9" t="inlineStr">
        <is>
          <t>mg/dL</t>
        </is>
      </c>
      <c r="M12" s="9" t="inlineStr">
        <is>
          <t>20–275</t>
        </is>
      </c>
      <c r="N12" s="9" t="inlineStr">
        <is>
          <t>20–275</t>
        </is>
      </c>
      <c r="O12" s="9" t="inlineStr">
        <is>
          <t>Variable</t>
        </is>
      </c>
      <c r="P12" s="9" t="inlineStr">
        <is>
          <t>Required for albumin:creatinine ratio if not first-morning void</t>
        </is>
      </c>
    </row>
    <row r="13" ht="32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7" t="inlineStr">
        <is>
          <t>Albumin:Creatinine Ratio (ACR)</t>
        </is>
      </c>
      <c r="L13" s="6" t="inlineStr">
        <is>
          <t>mg/g</t>
        </is>
      </c>
      <c r="M13" s="6" t="inlineStr">
        <is>
          <t>&lt; 30</t>
        </is>
      </c>
      <c r="N13" s="6" t="inlineStr">
        <is>
          <t>&lt; 30</t>
        </is>
      </c>
      <c r="O13" s="6" t="inlineStr">
        <is>
          <t>&lt; 30</t>
        </is>
      </c>
      <c r="P13" s="6" t="inlineStr">
        <is>
          <t>ACR &lt; 30 = normal; 30–300 = moderately increased (microalbuminuria); &gt; 300 = severely increased (macroalbuminuria)</t>
        </is>
      </c>
    </row>
    <row r="14" ht="6" customHeight="1">
      <c r="A14" s="8" t="n"/>
    </row>
    <row r="15" ht="22" customHeight="1">
      <c r="A15" s="3" t="inlineStr">
        <is>
          <t xml:space="preserve">  [116]  NA  —  Sodium  |  Dept: Chemistry  |  Price: Rs 900  |  Fasting: No  |  TAT: 4 hrs</t>
        </is>
      </c>
    </row>
    <row r="16" ht="18" customHeight="1">
      <c r="A16" s="4" t="inlineStr">
        <is>
          <t xml:space="preserve">   Specimen: Serum   |   Container: SST (Yellow top)   |   Volume: 3 mL</t>
        </is>
      </c>
    </row>
    <row r="17" ht="18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>
        <is>
          <t>Parameter</t>
        </is>
      </c>
      <c r="L17" s="5" t="inlineStr">
        <is>
          <t>Unit</t>
        </is>
      </c>
      <c r="M17" s="5" t="inlineStr">
        <is>
          <t>Normal Range (Male)</t>
        </is>
      </c>
      <c r="N17" s="5" t="inlineStr">
        <is>
          <t>Normal Range (Female)</t>
        </is>
      </c>
      <c r="O17" s="5" t="inlineStr">
        <is>
          <t>Normal Range (Paediatric)</t>
        </is>
      </c>
      <c r="P17" s="5" t="inlineStr">
        <is>
          <t>Critical Values / Clinical Significance</t>
        </is>
      </c>
    </row>
    <row r="18" ht="32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7" t="inlineStr">
        <is>
          <t>Serum Sodium</t>
        </is>
      </c>
      <c r="L18" s="6" t="inlineStr">
        <is>
          <t>mmol/L</t>
        </is>
      </c>
      <c r="M18" s="6" t="inlineStr">
        <is>
          <t>136–145</t>
        </is>
      </c>
      <c r="N18" s="6" t="inlineStr">
        <is>
          <t>136–145</t>
        </is>
      </c>
      <c r="O18" s="6" t="inlineStr">
        <is>
          <t>135–145</t>
        </is>
      </c>
      <c r="P18" s="6" t="inlineStr">
        <is>
          <t>CRIT &lt; 120 or &gt; 160 | Hyponatraemia: SIADH, HF, hypothyroidism, overhydration; Hypernatraemia: dehydration, diabetes insipidus, excess Na intake</t>
        </is>
      </c>
    </row>
    <row r="19" ht="6" customHeight="1">
      <c r="A19" s="8" t="n"/>
    </row>
    <row r="20" ht="22" customHeight="1">
      <c r="A20" s="3" t="inlineStr">
        <is>
          <t xml:space="preserve">  [117]  NTBI  —  Serum Bilirubin Profile (T, D &amp; ID)  |  Dept: Chemistry  |  Price: Rs 1,200  |  Fasting: No  |  TAT: 4 hrs</t>
        </is>
      </c>
    </row>
    <row r="21" ht="18" customHeight="1">
      <c r="A21" s="4" t="inlineStr">
        <is>
          <t xml:space="preserve">   Specimen: Serum   |   Container: SST (Yellow top)   |   Volume: 3 mL</t>
        </is>
      </c>
    </row>
    <row r="22" ht="18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>
        <is>
          <t>Parameter</t>
        </is>
      </c>
      <c r="L22" s="5" t="inlineStr">
        <is>
          <t>Unit</t>
        </is>
      </c>
      <c r="M22" s="5" t="inlineStr">
        <is>
          <t>Normal Range (Male)</t>
        </is>
      </c>
      <c r="N22" s="5" t="inlineStr">
        <is>
          <t>Normal Range (Female)</t>
        </is>
      </c>
      <c r="O22" s="5" t="inlineStr">
        <is>
          <t>Normal Range (Paediatric)</t>
        </is>
      </c>
      <c r="P22" s="5" t="inlineStr">
        <is>
          <t>Critical Values / Clinical Significance</t>
        </is>
      </c>
    </row>
    <row r="23" ht="32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7" t="inlineStr">
        <is>
          <t>Total Bilirubin</t>
        </is>
      </c>
      <c r="L23" s="6" t="inlineStr">
        <is>
          <t>mg/dL</t>
        </is>
      </c>
      <c r="M23" s="6" t="inlineStr">
        <is>
          <t>0.1–1.2</t>
        </is>
      </c>
      <c r="N23" s="6" t="inlineStr">
        <is>
          <t>0.1–1.2</t>
        </is>
      </c>
      <c r="O23" s="6" t="inlineStr">
        <is>
          <t>&lt; 12 (neonate)</t>
        </is>
      </c>
      <c r="P23" s="6" t="inlineStr">
        <is>
          <t>CRIT &gt; 15 | Jaundice clinically visible &gt; 2.5 mg/dL</t>
        </is>
      </c>
    </row>
    <row r="24" ht="32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inlineStr">
        <is>
          <t>Direct (Conjugated) Bilirubin</t>
        </is>
      </c>
      <c r="L24" s="9" t="inlineStr">
        <is>
          <t>mg/dL</t>
        </is>
      </c>
      <c r="M24" s="9" t="inlineStr">
        <is>
          <t>0.0–0.3</t>
        </is>
      </c>
      <c r="N24" s="9" t="inlineStr">
        <is>
          <t>0.0–0.3</t>
        </is>
      </c>
      <c r="O24" s="9" t="inlineStr">
        <is>
          <t>0.0–0.2</t>
        </is>
      </c>
      <c r="P24" s="9" t="inlineStr">
        <is>
          <t>Elevated = hepatocellular disease, biliary obstruction, cholangitis, Dubin-Johnson syndrome</t>
        </is>
      </c>
    </row>
    <row r="25" ht="32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7" t="inlineStr">
        <is>
          <t>Indirect (Unconjugated) Bilirubin</t>
        </is>
      </c>
      <c r="L25" s="6" t="inlineStr">
        <is>
          <t>mg/dL</t>
        </is>
      </c>
      <c r="M25" s="6" t="inlineStr">
        <is>
          <t>0.1–1.0</t>
        </is>
      </c>
      <c r="N25" s="6" t="inlineStr">
        <is>
          <t>0.1–1.0</t>
        </is>
      </c>
      <c r="O25" s="6" t="inlineStr">
        <is>
          <t>&lt; 12 (neonate)</t>
        </is>
      </c>
      <c r="P25" s="6" t="inlineStr">
        <is>
          <t>Elevated = haemolytic anaemia, Gilbert's syndrome, Crigler-Najjar, ineffective erythropoiesis</t>
        </is>
      </c>
    </row>
    <row r="26" ht="6" customHeight="1">
      <c r="A26" s="8" t="n"/>
    </row>
    <row r="27" ht="22" customHeight="1">
      <c r="A27" s="3" t="inlineStr">
        <is>
          <t xml:space="preserve">  [118]  OSM  —  Serum Osmolality  |  Dept: Chemistry  |  Price: Rs 1,900  |  Fasting: No  |  TAT: 4 hrs</t>
        </is>
      </c>
    </row>
    <row r="28" ht="18" customHeight="1">
      <c r="A28" s="4" t="inlineStr">
        <is>
          <t xml:space="preserve">   Specimen: Serum   |   Container: SST (Yellow top)   |   Volume: 3 mL</t>
        </is>
      </c>
    </row>
    <row r="29" ht="18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>
        <is>
          <t>Parameter</t>
        </is>
      </c>
      <c r="L29" s="5" t="inlineStr">
        <is>
          <t>Unit</t>
        </is>
      </c>
      <c r="M29" s="5" t="inlineStr">
        <is>
          <t>Normal Range (Male)</t>
        </is>
      </c>
      <c r="N29" s="5" t="inlineStr">
        <is>
          <t>Normal Range (Female)</t>
        </is>
      </c>
      <c r="O29" s="5" t="inlineStr">
        <is>
          <t>Normal Range (Paediatric)</t>
        </is>
      </c>
      <c r="P29" s="5" t="inlineStr">
        <is>
          <t>Critical Values / Clinical Significance</t>
        </is>
      </c>
    </row>
    <row r="30" ht="32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7" t="inlineStr">
        <is>
          <t>Serum Osmolality</t>
        </is>
      </c>
      <c r="L30" s="6" t="inlineStr">
        <is>
          <t>mOsm/kg</t>
        </is>
      </c>
      <c r="M30" s="6" t="inlineStr">
        <is>
          <t>275–295</t>
        </is>
      </c>
      <c r="N30" s="6" t="inlineStr">
        <is>
          <t>275–295</t>
        </is>
      </c>
      <c r="O30" s="6" t="inlineStr">
        <is>
          <t>275–290</t>
        </is>
      </c>
      <c r="P30" s="6" t="inlineStr">
        <is>
          <t>CRIT &lt; 240 or &gt; 330 | High = hypernatraemia, hyperglycaemia, uraemia, mannitol, ethanol; Low = hyponatraemia, SIADH, overhydration</t>
        </is>
      </c>
    </row>
    <row r="31" ht="32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10" t="inlineStr">
        <is>
          <t>Osmolal Gap (calculated)</t>
        </is>
      </c>
      <c r="L31" s="9" t="inlineStr">
        <is>
          <t>mOsm/kg</t>
        </is>
      </c>
      <c r="M31" s="9" t="inlineStr">
        <is>
          <t>&lt; 10</t>
        </is>
      </c>
      <c r="N31" s="9" t="inlineStr">
        <is>
          <t>&lt; 10</t>
        </is>
      </c>
      <c r="O31" s="9" t="inlineStr">
        <is>
          <t>&lt; 10</t>
        </is>
      </c>
      <c r="P31" s="9">
        <f> Measured Osm − Calculated Osm | &gt; 10 = osmolal gap (toxic alcohols: methanol, ethylene glycol, isopropanol)</f>
        <v/>
      </c>
    </row>
    <row r="32" ht="32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7" t="inlineStr">
        <is>
          <t>Calculated Osmolality</t>
        </is>
      </c>
      <c r="L32" s="6" t="inlineStr">
        <is>
          <t>mOsm/kg</t>
        </is>
      </c>
      <c r="M32" s="6" t="inlineStr">
        <is>
          <t>275–295</t>
        </is>
      </c>
      <c r="N32" s="6" t="inlineStr">
        <is>
          <t>275–295</t>
        </is>
      </c>
      <c r="O32" s="6" t="inlineStr">
        <is>
          <t>275–290</t>
        </is>
      </c>
      <c r="P32" s="6">
        <f> 2×Na + (Glucose/18) + (BUN/2.8) — requires simultaneous glucose and BUN</f>
        <v/>
      </c>
    </row>
    <row r="33" ht="6" customHeight="1">
      <c r="A33" s="8" t="n"/>
    </row>
    <row r="34" ht="22" customHeight="1">
      <c r="A34" s="3" t="inlineStr">
        <is>
          <t xml:space="preserve">  [119]  PHOS  —  Phosphorous  |  Dept: Chemistry  |  Price: Rs 600  |  Fasting: No  |  TAT: 4 hrs</t>
        </is>
      </c>
    </row>
    <row r="35" ht="18" customHeight="1">
      <c r="A35" s="4" t="inlineStr">
        <is>
          <t xml:space="preserve">   Specimen: Serum   |   Container: SST (Yellow top)   |   Volume: 3 mL</t>
        </is>
      </c>
    </row>
    <row r="36" ht="18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>
        <is>
          <t>Parameter</t>
        </is>
      </c>
      <c r="L36" s="5" t="inlineStr">
        <is>
          <t>Unit</t>
        </is>
      </c>
      <c r="M36" s="5" t="inlineStr">
        <is>
          <t>Normal Range (Male)</t>
        </is>
      </c>
      <c r="N36" s="5" t="inlineStr">
        <is>
          <t>Normal Range (Female)</t>
        </is>
      </c>
      <c r="O36" s="5" t="inlineStr">
        <is>
          <t>Normal Range (Paediatric)</t>
        </is>
      </c>
      <c r="P36" s="5" t="inlineStr">
        <is>
          <t>Critical Values / Clinical Significance</t>
        </is>
      </c>
    </row>
    <row r="37" ht="32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7" t="inlineStr">
        <is>
          <t>Serum Phosphorus (Inorganic)</t>
        </is>
      </c>
      <c r="L37" s="6" t="inlineStr">
        <is>
          <t>mg/dL</t>
        </is>
      </c>
      <c r="M37" s="6" t="inlineStr">
        <is>
          <t>2.5–4.5</t>
        </is>
      </c>
      <c r="N37" s="6" t="inlineStr">
        <is>
          <t>2.5–4.5</t>
        </is>
      </c>
      <c r="O37" s="6" t="inlineStr">
        <is>
          <t>4.0–7.0 (child)</t>
        </is>
      </c>
      <c r="P37" s="6" t="inlineStr">
        <is>
          <t>CRIT &lt; 1.0 or &gt; 8.0 | Low = malnutrition, hyperparathyroidism, vit D deficiency, refeeding syndrome; High = renal failure, hypoparathyroidism, rhabdomyolysis</t>
        </is>
      </c>
    </row>
    <row r="38" ht="6" customHeight="1">
      <c r="A38" s="8" t="n"/>
    </row>
    <row r="39" ht="22" customHeight="1">
      <c r="A39" s="3" t="inlineStr">
        <is>
          <t xml:space="preserve">  [120]  POT  —  Potassium  |  Dept: Chemistry  |  Price: Rs 850  |  Fasting: No  |  TAT: 4 hrs</t>
        </is>
      </c>
    </row>
    <row r="40" ht="18" customHeight="1">
      <c r="A40" s="4" t="inlineStr">
        <is>
          <t xml:space="preserve">   Specimen: Serum   |   Container: SST (Yellow top)   |   Volume: 3 mL</t>
        </is>
      </c>
    </row>
    <row r="41" ht="18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>
        <is>
          <t>Parameter</t>
        </is>
      </c>
      <c r="L41" s="5" t="inlineStr">
        <is>
          <t>Unit</t>
        </is>
      </c>
      <c r="M41" s="5" t="inlineStr">
        <is>
          <t>Normal Range (Male)</t>
        </is>
      </c>
      <c r="N41" s="5" t="inlineStr">
        <is>
          <t>Normal Range (Female)</t>
        </is>
      </c>
      <c r="O41" s="5" t="inlineStr">
        <is>
          <t>Normal Range (Paediatric)</t>
        </is>
      </c>
      <c r="P41" s="5" t="inlineStr">
        <is>
          <t>Critical Values / Clinical Significance</t>
        </is>
      </c>
    </row>
    <row r="42" ht="32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7" t="inlineStr">
        <is>
          <t>Serum Potassium</t>
        </is>
      </c>
      <c r="L42" s="6" t="inlineStr">
        <is>
          <t>mmol/L</t>
        </is>
      </c>
      <c r="M42" s="6" t="inlineStr">
        <is>
          <t>3.5–5.1</t>
        </is>
      </c>
      <c r="N42" s="6" t="inlineStr">
        <is>
          <t>3.5–5.1</t>
        </is>
      </c>
      <c r="O42" s="6" t="inlineStr">
        <is>
          <t>3.4–4.7</t>
        </is>
      </c>
      <c r="P42" s="6" t="inlineStr">
        <is>
          <t>CRIT &lt; 2.5 or &gt; 6.5 | Hypokalaemia: vomiting, diarrhoea, loop diuretics, Cushing's; Hyperkalaemia: AKI, Addison's, ACE inhibitors, massive haemolysis. ECG correlation essential</t>
        </is>
      </c>
    </row>
    <row r="43" ht="6" customHeight="1">
      <c r="A43" s="8" t="n"/>
    </row>
    <row r="44" ht="22" customHeight="1">
      <c r="A44" s="3" t="inlineStr">
        <is>
          <t xml:space="preserve">  [121]  RAF  —  Rheumatoid Factor (Quantitative)  |  Dept: Chemistry  |  Price: Rs 1,100  |  Fasting: No  |  TAT: 24 hrs</t>
        </is>
      </c>
    </row>
    <row r="45" ht="18" customHeight="1">
      <c r="A45" s="4" t="inlineStr">
        <is>
          <t xml:space="preserve">   Specimen: Serum   |   Container: SST (Yellow top)   |   Volume: 3 mL</t>
        </is>
      </c>
    </row>
    <row r="46" ht="18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>
        <is>
          <t>Parameter</t>
        </is>
      </c>
      <c r="L46" s="5" t="inlineStr">
        <is>
          <t>Unit</t>
        </is>
      </c>
      <c r="M46" s="5" t="inlineStr">
        <is>
          <t>Normal Range (Male)</t>
        </is>
      </c>
      <c r="N46" s="5" t="inlineStr">
        <is>
          <t>Normal Range (Female)</t>
        </is>
      </c>
      <c r="O46" s="5" t="inlineStr">
        <is>
          <t>Normal Range (Paediatric)</t>
        </is>
      </c>
      <c r="P46" s="5" t="inlineStr">
        <is>
          <t>Critical Values / Clinical Significance</t>
        </is>
      </c>
    </row>
    <row r="47" ht="32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7" t="inlineStr">
        <is>
          <t>Rheumatoid Factor (RF)</t>
        </is>
      </c>
      <c r="L47" s="6" t="inlineStr">
        <is>
          <t>IU/mL</t>
        </is>
      </c>
      <c r="M47" s="6" t="inlineStr">
        <is>
          <t>&lt; 20</t>
        </is>
      </c>
      <c r="N47" s="6" t="inlineStr">
        <is>
          <t>&lt; 20</t>
        </is>
      </c>
      <c r="O47" s="6" t="inlineStr">
        <is>
          <t>&lt; 20</t>
        </is>
      </c>
      <c r="P47" s="6" t="inlineStr">
        <is>
          <t>&gt; 20 = positive | Elevated in RA (~80%), SLE, Sjögren's, sarcoidosis, chronic infection, elderly. Not specific for RA — anti-CCP more specific</t>
        </is>
      </c>
    </row>
    <row r="48" ht="32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10" t="inlineStr">
        <is>
          <t>Interpretation</t>
        </is>
      </c>
      <c r="L48" s="9" t="inlineStr">
        <is>
          <t>—</t>
        </is>
      </c>
      <c r="M48" s="9" t="inlineStr">
        <is>
          <t>Negative</t>
        </is>
      </c>
      <c r="N48" s="9" t="inlineStr">
        <is>
          <t>Negative</t>
        </is>
      </c>
      <c r="O48" s="9" t="inlineStr">
        <is>
          <t>Negative</t>
        </is>
      </c>
      <c r="P48" s="9" t="inlineStr">
        <is>
          <t>Titre &gt; 60 IU/mL = strongly positive. Serial measurements to assess disease activity</t>
        </is>
      </c>
    </row>
    <row r="49" ht="6" customHeight="1">
      <c r="A49" s="8" t="n"/>
    </row>
    <row r="50" ht="22" customHeight="1">
      <c r="A50" s="3" t="inlineStr">
        <is>
          <t xml:space="preserve">  [122]  RFT  —  RFTs (Renal Function Tests)  |  Dept: Chemistry  |  Price: Rs 1,400  |  Fasting: No  |  TAT: 4 hrs</t>
        </is>
      </c>
    </row>
    <row r="51" ht="18" customHeight="1">
      <c r="A51" s="4" t="inlineStr">
        <is>
          <t xml:space="preserve">   Specimen: Serum   |   Container: SST (Yellow top)   |   Volume: 5 mL</t>
        </is>
      </c>
    </row>
    <row r="52" ht="18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>
        <is>
          <t>Parameter</t>
        </is>
      </c>
      <c r="L52" s="5" t="inlineStr">
        <is>
          <t>Unit</t>
        </is>
      </c>
      <c r="M52" s="5" t="inlineStr">
        <is>
          <t>Normal Range (Male)</t>
        </is>
      </c>
      <c r="N52" s="5" t="inlineStr">
        <is>
          <t>Normal Range (Female)</t>
        </is>
      </c>
      <c r="O52" s="5" t="inlineStr">
        <is>
          <t>Normal Range (Paediatric)</t>
        </is>
      </c>
      <c r="P52" s="5" t="inlineStr">
        <is>
          <t>Critical Values / Clinical Significance</t>
        </is>
      </c>
    </row>
    <row r="53" ht="32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7" t="inlineStr">
        <is>
          <t>Serum Urea</t>
        </is>
      </c>
      <c r="L53" s="6" t="inlineStr">
        <is>
          <t>mg/dL</t>
        </is>
      </c>
      <c r="M53" s="6" t="inlineStr">
        <is>
          <t>15–40</t>
        </is>
      </c>
      <c r="N53" s="6" t="inlineStr">
        <is>
          <t>15–40</t>
        </is>
      </c>
      <c r="O53" s="6" t="inlineStr">
        <is>
          <t>10–30</t>
        </is>
      </c>
      <c r="P53" s="6" t="inlineStr">
        <is>
          <t>Elevated in pre-renal/renal failure, dehydration, high protein diet, GI bleed</t>
        </is>
      </c>
    </row>
    <row r="54" ht="32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inlineStr">
        <is>
          <t>Serum Creatinine</t>
        </is>
      </c>
      <c r="L54" s="9" t="inlineStr">
        <is>
          <t>mg/dL</t>
        </is>
      </c>
      <c r="M54" s="9" t="inlineStr">
        <is>
          <t>0.7–1.2</t>
        </is>
      </c>
      <c r="N54" s="9" t="inlineStr">
        <is>
          <t>0.5–1.1</t>
        </is>
      </c>
      <c r="O54" s="9" t="inlineStr">
        <is>
          <t>0.3–0.7</t>
        </is>
      </c>
      <c r="P54" s="9" t="inlineStr">
        <is>
          <t>CRIT &gt; 10 | Elevated in AKI and CKD; eGFR calculated from creatinine</t>
        </is>
      </c>
    </row>
    <row r="55" ht="32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7" t="inlineStr">
        <is>
          <t>eGFR (CKD-EPI)</t>
        </is>
      </c>
      <c r="L55" s="6" t="inlineStr">
        <is>
          <t>mL/min/1.73m²</t>
        </is>
      </c>
      <c r="M55" s="6" t="inlineStr">
        <is>
          <t>≥ 90</t>
        </is>
      </c>
      <c r="N55" s="6" t="inlineStr">
        <is>
          <t>≥ 90</t>
        </is>
      </c>
      <c r="O55" s="6" t="inlineStr">
        <is>
          <t>≥ 90</t>
        </is>
      </c>
      <c r="P55" s="6" t="inlineStr">
        <is>
          <t>≥ 90 = normal; 60–89 = mildly reduced; 30–59 = moderate CKD; 15–29 = severe; &lt; 15 = ESRD</t>
        </is>
      </c>
    </row>
    <row r="56" ht="32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10" t="inlineStr">
        <is>
          <t>Serum Uric Acid</t>
        </is>
      </c>
      <c r="L56" s="9" t="inlineStr">
        <is>
          <t>mg/dL</t>
        </is>
      </c>
      <c r="M56" s="9" t="inlineStr">
        <is>
          <t>3.4–7.0</t>
        </is>
      </c>
      <c r="N56" s="9" t="inlineStr">
        <is>
          <t>2.4–5.7</t>
        </is>
      </c>
      <c r="O56" s="9" t="inlineStr">
        <is>
          <t>—</t>
        </is>
      </c>
      <c r="P56" s="9" t="inlineStr">
        <is>
          <t>Elevated in gout, tumour lysis, diuretic use, renal failure</t>
        </is>
      </c>
    </row>
    <row r="57" ht="32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7" t="inlineStr">
        <is>
          <t>Sodium</t>
        </is>
      </c>
      <c r="L57" s="6" t="inlineStr">
        <is>
          <t>mmol/L</t>
        </is>
      </c>
      <c r="M57" s="6" t="inlineStr">
        <is>
          <t>136–145</t>
        </is>
      </c>
      <c r="N57" s="6" t="inlineStr">
        <is>
          <t>136–145</t>
        </is>
      </c>
      <c r="O57" s="6" t="inlineStr">
        <is>
          <t>135–145</t>
        </is>
      </c>
      <c r="P57" s="6" t="inlineStr">
        <is>
          <t>CRIT &lt; 120 or &gt; 160</t>
        </is>
      </c>
    </row>
    <row r="58" ht="32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10" t="inlineStr">
        <is>
          <t>Potassium</t>
        </is>
      </c>
      <c r="L58" s="9" t="inlineStr">
        <is>
          <t>mmol/L</t>
        </is>
      </c>
      <c r="M58" s="9" t="inlineStr">
        <is>
          <t>3.5–5.1</t>
        </is>
      </c>
      <c r="N58" s="9" t="inlineStr">
        <is>
          <t>3.5–5.1</t>
        </is>
      </c>
      <c r="O58" s="9" t="inlineStr">
        <is>
          <t>3.4–4.7</t>
        </is>
      </c>
      <c r="P58" s="9" t="inlineStr">
        <is>
          <t>CRIT &lt; 2.5 or &gt; 6.5 | Check ECG if abnormal</t>
        </is>
      </c>
    </row>
    <row r="59" ht="6" customHeight="1">
      <c r="A59" s="8" t="n"/>
    </row>
    <row r="60" ht="22" customHeight="1">
      <c r="A60" s="3" t="inlineStr">
        <is>
          <t xml:space="preserve">  [123]  SAAG  —  Serum Ascites Albumin Gradient  |  Dept: Chemistry  |  Price: Rs 1,000  |  Fasting: No  |  TAT: 4 hrs</t>
        </is>
      </c>
    </row>
    <row r="61" ht="18" customHeight="1">
      <c r="A61" s="4" t="inlineStr">
        <is>
          <t xml:space="preserve">   Specimen: Serum + Ascitic Fluid   |   Container: SST (Yellow) + Sterile plain tube   |   Volume: 3 mL + 5 mL</t>
        </is>
      </c>
    </row>
    <row r="62" ht="18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>
        <is>
          <t>Parameter</t>
        </is>
      </c>
      <c r="L62" s="5" t="inlineStr">
        <is>
          <t>Unit</t>
        </is>
      </c>
      <c r="M62" s="5" t="inlineStr">
        <is>
          <t>Normal Range (Male)</t>
        </is>
      </c>
      <c r="N62" s="5" t="inlineStr">
        <is>
          <t>Normal Range (Female)</t>
        </is>
      </c>
      <c r="O62" s="5" t="inlineStr">
        <is>
          <t>Normal Range (Paediatric)</t>
        </is>
      </c>
      <c r="P62" s="5" t="inlineStr">
        <is>
          <t>Critical Values / Clinical Significance</t>
        </is>
      </c>
    </row>
    <row r="63" ht="32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7" t="inlineStr">
        <is>
          <t>Serum Albumin</t>
        </is>
      </c>
      <c r="L63" s="6" t="inlineStr">
        <is>
          <t>g/dL</t>
        </is>
      </c>
      <c r="M63" s="6" t="inlineStr">
        <is>
          <t>3.5–5.0</t>
        </is>
      </c>
      <c r="N63" s="6" t="inlineStr">
        <is>
          <t>3.5–5.0</t>
        </is>
      </c>
      <c r="O63" s="6" t="inlineStr">
        <is>
          <t>3.8–5.4</t>
        </is>
      </c>
      <c r="P63" s="6" t="inlineStr">
        <is>
          <t>Must be drawn simultaneously with ascitic fluid tap</t>
        </is>
      </c>
    </row>
    <row r="64" ht="32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inlineStr">
        <is>
          <t>Ascitic Fluid Albumin</t>
        </is>
      </c>
      <c r="L64" s="9" t="inlineStr">
        <is>
          <t>g/dL</t>
        </is>
      </c>
      <c r="M64" s="9" t="inlineStr">
        <is>
          <t>Variable</t>
        </is>
      </c>
      <c r="N64" s="9" t="inlineStr">
        <is>
          <t>Variable</t>
        </is>
      </c>
      <c r="O64" s="9" t="inlineStr">
        <is>
          <t>—</t>
        </is>
      </c>
      <c r="P64" s="9" t="inlineStr">
        <is>
          <t>Collected during paracentesis at same time as serum sample</t>
        </is>
      </c>
    </row>
    <row r="65" ht="32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7" t="inlineStr">
        <is>
          <t>SAAG (calculated)</t>
        </is>
      </c>
      <c r="L65" s="6" t="inlineStr">
        <is>
          <t>g/dL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SAAG = Serum Albumin − Ascitic Albumin | ≥ 1.1 = portal hypertension (cirrhosis, CHF, Budd-Chiari); &lt; 1.1 = non-portal (TB, malignancy, pancreatitis, nephrotic syndrome)</t>
        </is>
      </c>
    </row>
    <row r="66" ht="6" customHeight="1">
      <c r="A66" s="8" t="n"/>
    </row>
    <row r="67" ht="22" customHeight="1">
      <c r="A67" s="3" t="inlineStr">
        <is>
          <t xml:space="preserve">  [124]  TB  —  Serum Total Bilirubin  |  Dept: Chemistry  |  Price: Rs 500  |  Fasting: No  |  TAT: 4 hrs</t>
        </is>
      </c>
    </row>
    <row r="68" ht="18" customHeight="1">
      <c r="A68" s="4" t="inlineStr">
        <is>
          <t xml:space="preserve">   Specimen: Serum   |   Container: SST (Yellow top)   |   Volume: 3 mL</t>
        </is>
      </c>
    </row>
    <row r="69" ht="18" customHeight="1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>
        <is>
          <t>Parameter</t>
        </is>
      </c>
      <c r="L69" s="5" t="inlineStr">
        <is>
          <t>Unit</t>
        </is>
      </c>
      <c r="M69" s="5" t="inlineStr">
        <is>
          <t>Normal Range (Male)</t>
        </is>
      </c>
      <c r="N69" s="5" t="inlineStr">
        <is>
          <t>Normal Range (Female)</t>
        </is>
      </c>
      <c r="O69" s="5" t="inlineStr">
        <is>
          <t>Normal Range (Paediatric)</t>
        </is>
      </c>
      <c r="P69" s="5" t="inlineStr">
        <is>
          <t>Critical Values / Clinical Significance</t>
        </is>
      </c>
    </row>
    <row r="70" ht="32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7" t="inlineStr">
        <is>
          <t>Total Bilirubin</t>
        </is>
      </c>
      <c r="L70" s="6" t="inlineStr">
        <is>
          <t>mg/dL</t>
        </is>
      </c>
      <c r="M70" s="6" t="inlineStr">
        <is>
          <t>0.1–1.2</t>
        </is>
      </c>
      <c r="N70" s="6" t="inlineStr">
        <is>
          <t>0.1–1.2</t>
        </is>
      </c>
      <c r="O70" s="6" t="inlineStr">
        <is>
          <t>&lt; 12 (neonate)</t>
        </is>
      </c>
      <c r="P70" s="6" t="inlineStr">
        <is>
          <t>CRIT &gt; 15 | Jaundice clinically apparent &gt; 2.5 mg/dL; &gt; 5 = significant; &gt; 10 = severe; neonatal: &gt; 12 = phototherapy threshold</t>
        </is>
      </c>
    </row>
    <row r="71" ht="6" customHeight="1">
      <c r="A71" s="8" t="n"/>
    </row>
    <row r="72" ht="22" customHeight="1">
      <c r="A72" s="3" t="inlineStr">
        <is>
          <t xml:space="preserve">  [125]  TG  —  Triglycerides  |  Dept: Chemistry  |  Price: Rs 700  |  Fasting: YES — 12 hrs  |  TAT: 4 hrs</t>
        </is>
      </c>
    </row>
    <row r="73" ht="18" customHeight="1">
      <c r="A73" s="4" t="inlineStr">
        <is>
          <t xml:space="preserve">   Specimen: Serum   |   Container: SST (Yellow top)   |   Volume: 3 mL</t>
        </is>
      </c>
    </row>
    <row r="74" ht="18" customHeight="1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>
        <is>
          <t>Parameter</t>
        </is>
      </c>
      <c r="L74" s="5" t="inlineStr">
        <is>
          <t>Unit</t>
        </is>
      </c>
      <c r="M74" s="5" t="inlineStr">
        <is>
          <t>Normal Range (Male)</t>
        </is>
      </c>
      <c r="N74" s="5" t="inlineStr">
        <is>
          <t>Normal Range (Female)</t>
        </is>
      </c>
      <c r="O74" s="5" t="inlineStr">
        <is>
          <t>Normal Range (Paediatric)</t>
        </is>
      </c>
      <c r="P74" s="5" t="inlineStr">
        <is>
          <t>Critical Values / Clinical Significance</t>
        </is>
      </c>
    </row>
    <row r="75" ht="32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7" t="inlineStr">
        <is>
          <t>Serum Triglycerides</t>
        </is>
      </c>
      <c r="L75" s="6" t="inlineStr">
        <is>
          <t>mg/dL</t>
        </is>
      </c>
      <c r="M75" s="6" t="inlineStr">
        <is>
          <t>&lt; 150 (normal)</t>
        </is>
      </c>
      <c r="N75" s="6" t="inlineStr">
        <is>
          <t>&lt; 150</t>
        </is>
      </c>
      <c r="O75" s="6" t="inlineStr">
        <is>
          <t>&lt; 150</t>
        </is>
      </c>
      <c r="P75" s="6" t="inlineStr">
        <is>
          <t>150–199 = borderline high; 200–499 = high; ≥ 500 = very high (acute pancreatitis risk). 12-hr fast required. Friedewald LDL invalid if TG &gt; 400</t>
        </is>
      </c>
    </row>
    <row r="76" ht="6" customHeight="1">
      <c r="A76" s="8" t="n"/>
    </row>
    <row r="77" ht="22" customHeight="1">
      <c r="A77" s="3" t="inlineStr">
        <is>
          <t xml:space="preserve">  [126]  TIBC  —  Total Iron Binding Capacity (TIBC) &amp; Iron  |  Dept: Chemistry  |  Price: Rs 1,500  |  Fasting: No  |  TAT: 4 hrs</t>
        </is>
      </c>
    </row>
    <row r="78" ht="18" customHeight="1">
      <c r="A78" s="4" t="inlineStr">
        <is>
          <t xml:space="preserve">   Specimen: Serum   |   Container: SST (Yellow top)   |   Volume: 3 mL</t>
        </is>
      </c>
    </row>
    <row r="79" ht="18" customHeight="1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>
        <is>
          <t>Parameter</t>
        </is>
      </c>
      <c r="L79" s="5" t="inlineStr">
        <is>
          <t>Unit</t>
        </is>
      </c>
      <c r="M79" s="5" t="inlineStr">
        <is>
          <t>Normal Range (Male)</t>
        </is>
      </c>
      <c r="N79" s="5" t="inlineStr">
        <is>
          <t>Normal Range (Female)</t>
        </is>
      </c>
      <c r="O79" s="5" t="inlineStr">
        <is>
          <t>Normal Range (Paediatric)</t>
        </is>
      </c>
      <c r="P79" s="5" t="inlineStr">
        <is>
          <t>Critical Values / Clinical Significance</t>
        </is>
      </c>
    </row>
    <row r="80" ht="32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7" t="inlineStr">
        <is>
          <t>Serum Iron</t>
        </is>
      </c>
      <c r="L80" s="6" t="inlineStr">
        <is>
          <t>µg/dL</t>
        </is>
      </c>
      <c r="M80" s="6" t="inlineStr">
        <is>
          <t>60–170</t>
        </is>
      </c>
      <c r="N80" s="6" t="inlineStr">
        <is>
          <t>50–170</t>
        </is>
      </c>
      <c r="O80" s="6" t="inlineStr">
        <is>
          <t>50–120</t>
        </is>
      </c>
      <c r="P80" s="6" t="inlineStr">
        <is>
          <t>CRIT &lt; 20 | Low = IDA, chronic disease; High = haemochromatosis, liver disease, iron overdose</t>
        </is>
      </c>
    </row>
    <row r="81" ht="32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10" t="inlineStr">
        <is>
          <t>TIBC (Total Iron Binding Capacity)</t>
        </is>
      </c>
      <c r="L81" s="9" t="inlineStr">
        <is>
          <t>µg/dL</t>
        </is>
      </c>
      <c r="M81" s="9" t="inlineStr">
        <is>
          <t>250–370</t>
        </is>
      </c>
      <c r="N81" s="9" t="inlineStr">
        <is>
          <t>250–370</t>
        </is>
      </c>
      <c r="O81" s="9" t="inlineStr">
        <is>
          <t>200–360</t>
        </is>
      </c>
      <c r="P81" s="9" t="inlineStr">
        <is>
          <t>High = IDA; Low = chronic disease, haemochromatosis, protein-losing states, malnutrition</t>
        </is>
      </c>
    </row>
    <row r="82" ht="32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7" t="inlineStr">
        <is>
          <t>UIBC (Unsaturated IBC)</t>
        </is>
      </c>
      <c r="L82" s="6" t="inlineStr">
        <is>
          <t>µg/dL</t>
        </is>
      </c>
      <c r="M82" s="6" t="inlineStr">
        <is>
          <t>111–343</t>
        </is>
      </c>
      <c r="N82" s="6" t="inlineStr">
        <is>
          <t>111–343</t>
        </is>
      </c>
      <c r="O82" s="6" t="inlineStr">
        <is>
          <t>Variable</t>
        </is>
      </c>
      <c r="P82" s="6" t="inlineStr">
        <is>
          <t>UIBC = TIBC − Serum Iron. High = IDA; Low = iron overload</t>
        </is>
      </c>
    </row>
    <row r="83" ht="32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10" t="inlineStr">
        <is>
          <t>Transferrin Saturation</t>
        </is>
      </c>
      <c r="L83" s="9" t="inlineStr">
        <is>
          <t xml:space="preserve">% </t>
        </is>
      </c>
      <c r="M83" s="9" t="inlineStr">
        <is>
          <t>20–50%</t>
        </is>
      </c>
      <c r="N83" s="9" t="inlineStr">
        <is>
          <t>15–50%</t>
        </is>
      </c>
      <c r="O83" s="9" t="inlineStr">
        <is>
          <t>15–40%</t>
        </is>
      </c>
      <c r="P83" s="9" t="inlineStr">
        <is>
          <t>CRIT &lt; 10% = severe IDA | &lt; 15% = IDA; &gt; 60% = haemochromatosis. Formula: (Fe / TIBC) × 100</t>
        </is>
      </c>
    </row>
    <row r="84" ht="6" customHeight="1">
      <c r="A84" s="8" t="n"/>
    </row>
    <row r="85" ht="22" customHeight="1">
      <c r="A85" s="3" t="inlineStr">
        <is>
          <t xml:space="preserve">  [127]  TP  —  Total Protein  |  Dept: Chemistry  |  Price: Rs 600  |  Fasting: No  |  TAT: 4 hrs</t>
        </is>
      </c>
    </row>
    <row r="86" ht="18" customHeight="1">
      <c r="A86" s="4" t="inlineStr">
        <is>
          <t xml:space="preserve">   Specimen: Serum   |   Container: SST (Yellow top)   |   Volume: 3 mL</t>
        </is>
      </c>
    </row>
    <row r="87" ht="18" customHeight="1">
      <c r="A87" s="5" t="inlineStr"/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>
        <is>
          <t>Parameter</t>
        </is>
      </c>
      <c r="L87" s="5" t="inlineStr">
        <is>
          <t>Unit</t>
        </is>
      </c>
      <c r="M87" s="5" t="inlineStr">
        <is>
          <t>Normal Range (Male)</t>
        </is>
      </c>
      <c r="N87" s="5" t="inlineStr">
        <is>
          <t>Normal Range (Female)</t>
        </is>
      </c>
      <c r="O87" s="5" t="inlineStr">
        <is>
          <t>Normal Range (Paediatric)</t>
        </is>
      </c>
      <c r="P87" s="5" t="inlineStr">
        <is>
          <t>Critical Values / Clinical Significance</t>
        </is>
      </c>
    </row>
    <row r="88" ht="32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7" t="inlineStr">
        <is>
          <t>Total Serum Protein</t>
        </is>
      </c>
      <c r="L88" s="6" t="inlineStr">
        <is>
          <t>g/dL</t>
        </is>
      </c>
      <c r="M88" s="6" t="inlineStr">
        <is>
          <t>6.0–8.3</t>
        </is>
      </c>
      <c r="N88" s="6" t="inlineStr">
        <is>
          <t>6.0–8.3</t>
        </is>
      </c>
      <c r="O88" s="6" t="inlineStr">
        <is>
          <t>5.0–7.5</t>
        </is>
      </c>
      <c r="P88" s="6" t="inlineStr">
        <is>
          <t>Low = malnutrition, liver disease, nephrotic syndrome, protein-losing enteropathy; High = dehydration, multiple myeloma, chronic infection</t>
        </is>
      </c>
    </row>
    <row r="89" ht="6" customHeight="1">
      <c r="A89" s="8" t="n"/>
    </row>
    <row r="90" ht="22" customHeight="1">
      <c r="A90" s="3" t="inlineStr">
        <is>
          <t xml:space="preserve">  [128]  TS  —  Transferrin Saturation  |  Dept: Chemistry  |  Price: Rs 1,800  |  Fasting: No  |  TAT: 4 hrs</t>
        </is>
      </c>
    </row>
    <row r="91" ht="18" customHeight="1">
      <c r="A91" s="4" t="inlineStr">
        <is>
          <t xml:space="preserve">   Specimen: Serum   |   Container: SST (Yellow top)   |   Volume: 3 mL</t>
        </is>
      </c>
    </row>
    <row r="92" ht="18" customHeight="1">
      <c r="A92" s="5" t="inlineStr"/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>
        <is>
          <t>Parameter</t>
        </is>
      </c>
      <c r="L92" s="5" t="inlineStr">
        <is>
          <t>Unit</t>
        </is>
      </c>
      <c r="M92" s="5" t="inlineStr">
        <is>
          <t>Normal Range (Male)</t>
        </is>
      </c>
      <c r="N92" s="5" t="inlineStr">
        <is>
          <t>Normal Range (Female)</t>
        </is>
      </c>
      <c r="O92" s="5" t="inlineStr">
        <is>
          <t>Normal Range (Paediatric)</t>
        </is>
      </c>
      <c r="P92" s="5" t="inlineStr">
        <is>
          <t>Critical Values / Clinical Significance</t>
        </is>
      </c>
    </row>
    <row r="93" ht="32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7" t="inlineStr">
        <is>
          <t>Serum Iron</t>
        </is>
      </c>
      <c r="L93" s="6" t="inlineStr">
        <is>
          <t>µg/dL</t>
        </is>
      </c>
      <c r="M93" s="6" t="inlineStr">
        <is>
          <t>60–170</t>
        </is>
      </c>
      <c r="N93" s="6" t="inlineStr">
        <is>
          <t>50–170</t>
        </is>
      </c>
      <c r="O93" s="6" t="inlineStr">
        <is>
          <t>50–120</t>
        </is>
      </c>
      <c r="P93" s="6" t="inlineStr">
        <is>
          <t>CRIT &lt; 20 | Required for TS calculation</t>
        </is>
      </c>
    </row>
    <row r="94" ht="32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10" t="inlineStr">
        <is>
          <t>TIBC</t>
        </is>
      </c>
      <c r="L94" s="9" t="inlineStr">
        <is>
          <t>µg/dL</t>
        </is>
      </c>
      <c r="M94" s="9" t="inlineStr">
        <is>
          <t>250–370</t>
        </is>
      </c>
      <c r="N94" s="9" t="inlineStr">
        <is>
          <t>250–370</t>
        </is>
      </c>
      <c r="O94" s="9" t="inlineStr">
        <is>
          <t>200–360</t>
        </is>
      </c>
      <c r="P94" s="9" t="inlineStr">
        <is>
          <t>Required for TS calculation</t>
        </is>
      </c>
    </row>
    <row r="95" ht="32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7" t="inlineStr">
        <is>
          <t>Transferrin Saturation (TS)</t>
        </is>
      </c>
      <c r="L95" s="6" t="inlineStr">
        <is>
          <t xml:space="preserve">% </t>
        </is>
      </c>
      <c r="M95" s="6" t="inlineStr">
        <is>
          <t>20–50%</t>
        </is>
      </c>
      <c r="N95" s="6" t="inlineStr">
        <is>
          <t>15–50%</t>
        </is>
      </c>
      <c r="O95" s="6" t="inlineStr">
        <is>
          <t>15–40%</t>
        </is>
      </c>
      <c r="P95" s="6" t="inlineStr">
        <is>
          <t>CRIT &lt; 10% or &gt; 60% | &lt; 15% = IDA; 15–20% = borderline; &gt; 60% = haemochromatosis. Formula: (Serum Fe / TIBC) × 100</t>
        </is>
      </c>
    </row>
    <row r="96" ht="32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10" t="inlineStr">
        <is>
          <t>Transferrin (protein)</t>
        </is>
      </c>
      <c r="L96" s="9" t="inlineStr">
        <is>
          <t>mg/dL</t>
        </is>
      </c>
      <c r="M96" s="9" t="inlineStr">
        <is>
          <t>200–360</t>
        </is>
      </c>
      <c r="N96" s="9" t="inlineStr">
        <is>
          <t>200–360</t>
        </is>
      </c>
      <c r="O96" s="9" t="inlineStr">
        <is>
          <t>Variable</t>
        </is>
      </c>
      <c r="P96" s="9" t="inlineStr">
        <is>
          <t>Low = malnutrition, liver disease; High = IDA, pregnancy (useful indirect iron marker)</t>
        </is>
      </c>
    </row>
    <row r="97" ht="6" customHeight="1">
      <c r="A97" s="8" t="n"/>
    </row>
    <row r="98" ht="22" customHeight="1">
      <c r="A98" s="3" t="inlineStr">
        <is>
          <t xml:space="preserve">  [129]  UA  —  Uric Acid  |  Dept: Chemistry  |  Price: Rs 700  |  Fasting: No  |  TAT: 4 hrs</t>
        </is>
      </c>
    </row>
    <row r="99" ht="18" customHeight="1">
      <c r="A99" s="4" t="inlineStr">
        <is>
          <t xml:space="preserve">   Specimen: Serum   |   Container: SST (Yellow top)   |   Volume: 3 mL</t>
        </is>
      </c>
    </row>
    <row r="100" ht="18" customHeight="1">
      <c r="A100" s="5" t="inlineStr"/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>
        <is>
          <t>Parameter</t>
        </is>
      </c>
      <c r="L100" s="5" t="inlineStr">
        <is>
          <t>Unit</t>
        </is>
      </c>
      <c r="M100" s="5" t="inlineStr">
        <is>
          <t>Normal Range (Male)</t>
        </is>
      </c>
      <c r="N100" s="5" t="inlineStr">
        <is>
          <t>Normal Range (Female)</t>
        </is>
      </c>
      <c r="O100" s="5" t="inlineStr">
        <is>
          <t>Normal Range (Paediatric)</t>
        </is>
      </c>
      <c r="P100" s="5" t="inlineStr">
        <is>
          <t>Critical Values / Clinical Significance</t>
        </is>
      </c>
    </row>
    <row r="101" ht="32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7" t="inlineStr">
        <is>
          <t>Serum Uric Acid</t>
        </is>
      </c>
      <c r="L101" s="6" t="inlineStr">
        <is>
          <t>mg/dL</t>
        </is>
      </c>
      <c r="M101" s="6" t="inlineStr">
        <is>
          <t>3.4–7.0</t>
        </is>
      </c>
      <c r="N101" s="6" t="inlineStr">
        <is>
          <t>2.4–5.7</t>
        </is>
      </c>
      <c r="O101" s="6" t="inlineStr">
        <is>
          <t>2.0–5.5</t>
        </is>
      </c>
      <c r="P101" s="6" t="inlineStr">
        <is>
          <t>CRIT &gt; 12 | &gt; 7.0 (M) / &gt; 5.7 (F) = hyperuricaemia (gout risk); Elevated in tumour lysis, renal failure, diuretics; Low in SIADH, xanthinuria</t>
        </is>
      </c>
    </row>
    <row r="102" ht="6" customHeight="1">
      <c r="A102" s="8" t="n"/>
    </row>
    <row r="103" ht="22" customHeight="1">
      <c r="A103" s="3" t="inlineStr">
        <is>
          <t xml:space="preserve">  [130]  UACR  —  Microalbumin:Creatinine Ratio (Urine)  |  Dept: Chemistry  |  Price: Rs 1,100  |  Fasting: No  |  TAT: 4 hrs</t>
        </is>
      </c>
    </row>
    <row r="104" ht="18" customHeight="1">
      <c r="A104" s="4" t="inlineStr">
        <is>
          <t xml:space="preserve">   Specimen: Spot Urine (first morning void preferred)   |   Container: Plain urine container   |   Volume: 10 mL spot</t>
        </is>
      </c>
    </row>
    <row r="105" ht="18" customHeight="1">
      <c r="A105" s="5" t="inlineStr"/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>
        <is>
          <t>Parameter</t>
        </is>
      </c>
      <c r="L105" s="5" t="inlineStr">
        <is>
          <t>Unit</t>
        </is>
      </c>
      <c r="M105" s="5" t="inlineStr">
        <is>
          <t>Normal Range (Male)</t>
        </is>
      </c>
      <c r="N105" s="5" t="inlineStr">
        <is>
          <t>Normal Range (Female)</t>
        </is>
      </c>
      <c r="O105" s="5" t="inlineStr">
        <is>
          <t>Normal Range (Paediatric)</t>
        </is>
      </c>
      <c r="P105" s="5" t="inlineStr">
        <is>
          <t>Critical Values / Clinical Significance</t>
        </is>
      </c>
    </row>
    <row r="106" ht="32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7" t="inlineStr">
        <is>
          <t>Spot Urine Microalbumin</t>
        </is>
      </c>
      <c r="L106" s="6" t="inlineStr">
        <is>
          <t>mg/L</t>
        </is>
      </c>
      <c r="M106" s="6" t="inlineStr">
        <is>
          <t>&lt; 30</t>
        </is>
      </c>
      <c r="N106" s="6" t="inlineStr">
        <is>
          <t>&lt; 30</t>
        </is>
      </c>
      <c r="O106" s="6" t="inlineStr">
        <is>
          <t>&lt; 30</t>
        </is>
      </c>
      <c r="P106" s="6" t="inlineStr">
        <is>
          <t>&lt; 30 = normal; 30–300 = microalbuminuria; &gt; 300 = macroalbuminuria</t>
        </is>
      </c>
    </row>
    <row r="107" ht="32" customHeight="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10" t="inlineStr">
        <is>
          <t>Spot Urine Creatinine</t>
        </is>
      </c>
      <c r="L107" s="9" t="inlineStr">
        <is>
          <t>mg/dL</t>
        </is>
      </c>
      <c r="M107" s="9" t="inlineStr">
        <is>
          <t>20–275</t>
        </is>
      </c>
      <c r="N107" s="9" t="inlineStr">
        <is>
          <t>20–275</t>
        </is>
      </c>
      <c r="O107" s="9" t="inlineStr">
        <is>
          <t>Variable</t>
        </is>
      </c>
      <c r="P107" s="9" t="inlineStr">
        <is>
          <t>Used as denominator to normalise for urine concentration</t>
        </is>
      </c>
    </row>
    <row r="108" ht="32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7" t="inlineStr">
        <is>
          <t>Albumin:Creatinine Ratio (ACR)</t>
        </is>
      </c>
      <c r="L108" s="6" t="inlineStr">
        <is>
          <t>mg/g Cr</t>
        </is>
      </c>
      <c r="M108" s="6" t="inlineStr">
        <is>
          <t>&lt; 30</t>
        </is>
      </c>
      <c r="N108" s="6" t="inlineStr">
        <is>
          <t>&lt; 30</t>
        </is>
      </c>
      <c r="O108" s="6" t="inlineStr">
        <is>
          <t>&lt; 30</t>
        </is>
      </c>
      <c r="P108" s="6" t="inlineStr">
        <is>
          <t>CRIT &gt; 300 | &lt; 30 = A1 normal; 30–300 = A2 microalbuminuria (early diabetic nephropathy); &gt; 300 = A3 macroalbuminuria (advanced nephropathy)</t>
        </is>
      </c>
    </row>
    <row r="109" ht="6" customHeight="1">
      <c r="A109" s="8" t="n"/>
    </row>
    <row r="110" ht="22" customHeight="1">
      <c r="A110" s="3" t="inlineStr">
        <is>
          <t xml:space="preserve">  [131]  UAMY  —  Urine Amylase (Spot)  |  Dept: Chemistry  |  Price: Rs 1,000  |  Fasting: No  |  TAT: 4 hrs</t>
        </is>
      </c>
    </row>
    <row r="111" ht="18" customHeight="1">
      <c r="A111" s="4" t="inlineStr">
        <is>
          <t xml:space="preserve">   Specimen: Spot Urine   |   Container: Plain urine container   |   Volume: 10 mL spot</t>
        </is>
      </c>
    </row>
    <row r="112" ht="18" customHeight="1">
      <c r="A112" s="5" t="inlineStr"/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>
        <is>
          <t>Parameter</t>
        </is>
      </c>
      <c r="L112" s="5" t="inlineStr">
        <is>
          <t>Unit</t>
        </is>
      </c>
      <c r="M112" s="5" t="inlineStr">
        <is>
          <t>Normal Range (Male)</t>
        </is>
      </c>
      <c r="N112" s="5" t="inlineStr">
        <is>
          <t>Normal Range (Female)</t>
        </is>
      </c>
      <c r="O112" s="5" t="inlineStr">
        <is>
          <t>Normal Range (Paediatric)</t>
        </is>
      </c>
      <c r="P112" s="5" t="inlineStr">
        <is>
          <t>Critical Values / Clinical Significance</t>
        </is>
      </c>
    </row>
    <row r="113" ht="32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7" t="inlineStr">
        <is>
          <t>Urine Amylase</t>
        </is>
      </c>
      <c r="L113" s="6" t="inlineStr">
        <is>
          <t>U/L</t>
        </is>
      </c>
      <c r="M113" s="6" t="inlineStr">
        <is>
          <t>&lt; 460 U/h</t>
        </is>
      </c>
      <c r="N113" s="6" t="inlineStr">
        <is>
          <t>&lt; 460 U/h</t>
        </is>
      </c>
      <c r="O113" s="6" t="inlineStr">
        <is>
          <t>—</t>
        </is>
      </c>
      <c r="P113" s="6" t="inlineStr">
        <is>
          <t>Elevated in acute pancreatitis, pancreatic pseudocyst. Remains elevated longer than serum amylase (up to 1 week). Useful when serum amylase normalising</t>
        </is>
      </c>
    </row>
    <row r="114" ht="32" customHeight="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10" t="inlineStr">
        <is>
          <t>Amylase:Creatinine Clearance Ratio</t>
        </is>
      </c>
      <c r="L114" s="9" t="inlineStr">
        <is>
          <t xml:space="preserve">% </t>
        </is>
      </c>
      <c r="M114" s="9" t="inlineStr">
        <is>
          <t>1–4%</t>
        </is>
      </c>
      <c r="N114" s="9" t="inlineStr">
        <is>
          <t>1–4%</t>
        </is>
      </c>
      <c r="O114" s="9" t="inlineStr">
        <is>
          <t>—</t>
        </is>
      </c>
      <c r="P114" s="9" t="inlineStr">
        <is>
          <t>ACCR = (Urine Amy × Serum Cr) / (Serum Amy × Urine Cr) × 100 | &gt; 5% = pancreatitis; &lt; 1% = macroamylasaemia</t>
        </is>
      </c>
    </row>
    <row r="115" ht="6" customHeight="1">
      <c r="A115" s="8" t="n"/>
    </row>
    <row r="116" ht="22" customHeight="1">
      <c r="A116" s="3" t="inlineStr">
        <is>
          <t xml:space="preserve">  [132]  UBT  —  Urea Breath Test (H. pylori)  |  Dept: Chemistry  |  Price: Rs 5,000  |  Fasting: YES — 4 hrs  |  TAT: 1 hr</t>
        </is>
      </c>
    </row>
    <row r="117" ht="18" customHeight="1">
      <c r="A117" s="4" t="inlineStr">
        <is>
          <t xml:space="preserve">   Specimen: Exhaled breath   |   Container: Breath collection kit (13C-urea capsule)   |   Volume: Breath sample</t>
        </is>
      </c>
    </row>
    <row r="118" ht="18" customHeight="1">
      <c r="A118" s="5" t="inlineStr"/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>
        <is>
          <t>Parameter</t>
        </is>
      </c>
      <c r="L118" s="5" t="inlineStr">
        <is>
          <t>Unit</t>
        </is>
      </c>
      <c r="M118" s="5" t="inlineStr">
        <is>
          <t>Normal Range (Male)</t>
        </is>
      </c>
      <c r="N118" s="5" t="inlineStr">
        <is>
          <t>Normal Range (Female)</t>
        </is>
      </c>
      <c r="O118" s="5" t="inlineStr">
        <is>
          <t>Normal Range (Paediatric)</t>
        </is>
      </c>
      <c r="P118" s="5" t="inlineStr">
        <is>
          <t>Critical Values / Clinical Significance</t>
        </is>
      </c>
    </row>
    <row r="119" ht="32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7" t="inlineStr">
        <is>
          <t>13C-Urea Breath Test (UBT)</t>
        </is>
      </c>
      <c r="L119" s="6" t="inlineStr">
        <is>
          <t>delta over baseline (DOB)</t>
        </is>
      </c>
      <c r="M119" s="6" t="inlineStr">
        <is>
          <t>&lt; 4 DOB (negative)</t>
        </is>
      </c>
      <c r="N119" s="6" t="inlineStr">
        <is>
          <t>&lt; 4 DOB</t>
        </is>
      </c>
      <c r="O119" s="6" t="inlineStr">
        <is>
          <t>&lt; 4 DOB</t>
        </is>
      </c>
      <c r="P119" s="6" t="inlineStr">
        <is>
          <t>CRIT ≥ 4 DOB = H. pylori positive | Sensitivity 95%, Specificity 96%. Stop PPIs 2 wks and antibiotics 4 wks before test. 4-hr fast required</t>
        </is>
      </c>
    </row>
    <row r="120" ht="6" customHeight="1">
      <c r="A120" s="8" t="n"/>
    </row>
    <row r="121" ht="22" customHeight="1">
      <c r="A121" s="3" t="inlineStr">
        <is>
          <t xml:space="preserve">  [133]  UC  —  Urea + Creatinine (combined)  |  Dept: Chemistry  |  Price: Rs 1,000  |  Fasting: No  |  TAT: 4 hrs</t>
        </is>
      </c>
    </row>
    <row r="122" ht="18" customHeight="1">
      <c r="A122" s="4" t="inlineStr">
        <is>
          <t xml:space="preserve">   Specimen: Serum   |   Container: SST (Yellow top)   |   Volume: 3 mL</t>
        </is>
      </c>
    </row>
    <row r="123" ht="18" customHeight="1">
      <c r="A123" s="5" t="inlineStr"/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>
        <is>
          <t>Parameter</t>
        </is>
      </c>
      <c r="L123" s="5" t="inlineStr">
        <is>
          <t>Unit</t>
        </is>
      </c>
      <c r="M123" s="5" t="inlineStr">
        <is>
          <t>Normal Range (Male)</t>
        </is>
      </c>
      <c r="N123" s="5" t="inlineStr">
        <is>
          <t>Normal Range (Female)</t>
        </is>
      </c>
      <c r="O123" s="5" t="inlineStr">
        <is>
          <t>Normal Range (Paediatric)</t>
        </is>
      </c>
      <c r="P123" s="5" t="inlineStr">
        <is>
          <t>Critical Values / Clinical Significance</t>
        </is>
      </c>
    </row>
    <row r="124" ht="32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7" t="inlineStr">
        <is>
          <t>Serum Urea</t>
        </is>
      </c>
      <c r="L124" s="6" t="inlineStr">
        <is>
          <t>mg/dL</t>
        </is>
      </c>
      <c r="M124" s="6" t="inlineStr">
        <is>
          <t>15–40</t>
        </is>
      </c>
      <c r="N124" s="6" t="inlineStr">
        <is>
          <t>15–40</t>
        </is>
      </c>
      <c r="O124" s="6" t="inlineStr">
        <is>
          <t>10–30</t>
        </is>
      </c>
      <c r="P124" s="6" t="inlineStr">
        <is>
          <t>Elevated in pre-renal/renal failure, high protein intake, GI bleed</t>
        </is>
      </c>
    </row>
    <row r="125" ht="32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10" t="inlineStr">
        <is>
          <t>Serum Creatinine</t>
        </is>
      </c>
      <c r="L125" s="9" t="inlineStr">
        <is>
          <t>mg/dL</t>
        </is>
      </c>
      <c r="M125" s="9" t="inlineStr">
        <is>
          <t>0.7–1.2</t>
        </is>
      </c>
      <c r="N125" s="9" t="inlineStr">
        <is>
          <t>0.5–1.1</t>
        </is>
      </c>
      <c r="O125" s="9" t="inlineStr">
        <is>
          <t>0.3–0.7</t>
        </is>
      </c>
      <c r="P125" s="9" t="inlineStr">
        <is>
          <t>CRIT &gt; 10 | Elevated in AKI and CKD; eGFR calculated from this</t>
        </is>
      </c>
    </row>
    <row r="126" ht="32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7" t="inlineStr">
        <is>
          <t>BUN:Creatinine Ratio</t>
        </is>
      </c>
      <c r="L126" s="6" t="inlineStr">
        <is>
          <t>—</t>
        </is>
      </c>
      <c r="M126" s="6" t="inlineStr">
        <is>
          <t>10:1 – 20:1</t>
        </is>
      </c>
      <c r="N126" s="6" t="inlineStr">
        <is>
          <t>10:1 – 20:1</t>
        </is>
      </c>
      <c r="O126" s="6" t="inlineStr">
        <is>
          <t>—</t>
        </is>
      </c>
      <c r="P126" s="6" t="inlineStr">
        <is>
          <t>&gt; 20:1 = pre-renal (dehydration, GI bleed); &lt; 10:1 = intrinsic renal, liver failure, SIADH; Both elevated = post-renal obstruction</t>
        </is>
      </c>
    </row>
    <row r="127" ht="6" customHeight="1">
      <c r="A127" s="8" t="n"/>
    </row>
    <row r="128" ht="22" customHeight="1">
      <c r="A128" s="3" t="inlineStr">
        <is>
          <t xml:space="preserve">  [134]  UCA  —  Urine Calcium (Spot)  |  Dept: Chemistry  |  Price: Rs 600  |  Fasting: No  |  TAT: 4 hrs</t>
        </is>
      </c>
    </row>
    <row r="129" ht="18" customHeight="1">
      <c r="A129" s="4" t="inlineStr">
        <is>
          <t xml:space="preserve">   Specimen: Spot Urine   |   Container: Plain urine container   |   Volume: 10 mL spot</t>
        </is>
      </c>
    </row>
    <row r="130" ht="18" customHeight="1">
      <c r="A130" s="5" t="inlineStr"/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>
        <is>
          <t>Parameter</t>
        </is>
      </c>
      <c r="L130" s="5" t="inlineStr">
        <is>
          <t>Unit</t>
        </is>
      </c>
      <c r="M130" s="5" t="inlineStr">
        <is>
          <t>Normal Range (Male)</t>
        </is>
      </c>
      <c r="N130" s="5" t="inlineStr">
        <is>
          <t>Normal Range (Female)</t>
        </is>
      </c>
      <c r="O130" s="5" t="inlineStr">
        <is>
          <t>Normal Range (Paediatric)</t>
        </is>
      </c>
      <c r="P130" s="5" t="inlineStr">
        <is>
          <t>Critical Values / Clinical Significance</t>
        </is>
      </c>
    </row>
    <row r="131" ht="32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7" t="inlineStr">
        <is>
          <t>Spot Urine Calcium</t>
        </is>
      </c>
      <c r="L131" s="6" t="inlineStr">
        <is>
          <t>mg/dL</t>
        </is>
      </c>
      <c r="M131" s="6" t="inlineStr">
        <is>
          <t>&lt; 20 (random)</t>
        </is>
      </c>
      <c r="N131" s="6" t="inlineStr">
        <is>
          <t>&lt; 20</t>
        </is>
      </c>
      <c r="O131" s="6" t="inlineStr">
        <is>
          <t>Variable</t>
        </is>
      </c>
      <c r="P131" s="6" t="inlineStr">
        <is>
          <t>Elevated = hypercalciuria, hyperparathyroidism, vit D toxicity, immobilisation, loop diuretics; Low = hypoparathyroidism, vit D deficiency</t>
        </is>
      </c>
    </row>
    <row r="132" ht="32" customHeight="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10" t="inlineStr">
        <is>
          <t>Urine Calcium:Creatinine Ratio</t>
        </is>
      </c>
      <c r="L132" s="9" t="inlineStr">
        <is>
          <t>mg/mg</t>
        </is>
      </c>
      <c r="M132" s="9" t="inlineStr">
        <is>
          <t>&lt; 0.20</t>
        </is>
      </c>
      <c r="N132" s="9" t="inlineStr">
        <is>
          <t>&lt; 0.20</t>
        </is>
      </c>
      <c r="O132" s="9" t="inlineStr">
        <is>
          <t>&lt; 0.20 (child)</t>
        </is>
      </c>
      <c r="P132" s="9" t="inlineStr">
        <is>
          <t>Ratio &gt; 0.20 = hypercalciuria (stone risk). More reliable than spot calcium alone</t>
        </is>
      </c>
    </row>
    <row r="133" ht="6" customHeight="1">
      <c r="A133" s="8" t="n"/>
    </row>
    <row r="134" ht="22" customHeight="1">
      <c r="A134" s="3" t="inlineStr">
        <is>
          <t xml:space="preserve">  [135]  UCCR  —  Urine Calcium/Creatinine Ratio (Spot)  |  Dept: Chemistry  |  Price: Rs 1,000  |  Fasting: No  |  TAT: 4 hrs</t>
        </is>
      </c>
    </row>
    <row r="135" ht="18" customHeight="1">
      <c r="A135" s="4" t="inlineStr">
        <is>
          <t xml:space="preserve">   Specimen: Spot Urine   |   Container: Plain urine container   |   Volume: 10 mL spot</t>
        </is>
      </c>
    </row>
    <row r="136" ht="18" customHeight="1">
      <c r="A136" s="5" t="inlineStr"/>
      <c r="B136" s="5" t="inlineStr"/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>
        <is>
          <t>Parameter</t>
        </is>
      </c>
      <c r="L136" s="5" t="inlineStr">
        <is>
          <t>Unit</t>
        </is>
      </c>
      <c r="M136" s="5" t="inlineStr">
        <is>
          <t>Normal Range (Male)</t>
        </is>
      </c>
      <c r="N136" s="5" t="inlineStr">
        <is>
          <t>Normal Range (Female)</t>
        </is>
      </c>
      <c r="O136" s="5" t="inlineStr">
        <is>
          <t>Normal Range (Paediatric)</t>
        </is>
      </c>
      <c r="P136" s="5" t="inlineStr">
        <is>
          <t>Critical Values / Clinical Significance</t>
        </is>
      </c>
    </row>
    <row r="137" ht="32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7" t="inlineStr">
        <is>
          <t>Urine Calcium</t>
        </is>
      </c>
      <c r="L137" s="6" t="inlineStr">
        <is>
          <t>mg/dL</t>
        </is>
      </c>
      <c r="M137" s="6" t="inlineStr">
        <is>
          <t>&lt; 20</t>
        </is>
      </c>
      <c r="N137" s="6" t="inlineStr">
        <is>
          <t>&lt; 20</t>
        </is>
      </c>
      <c r="O137" s="6" t="inlineStr">
        <is>
          <t>Variable</t>
        </is>
      </c>
      <c r="P137" s="6" t="inlineStr">
        <is>
          <t>Required for ratio calculation</t>
        </is>
      </c>
    </row>
    <row r="138" ht="32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10" t="inlineStr">
        <is>
          <t>Urine Creatinine</t>
        </is>
      </c>
      <c r="L138" s="9" t="inlineStr">
        <is>
          <t>mg/dL</t>
        </is>
      </c>
      <c r="M138" s="9" t="inlineStr">
        <is>
          <t>20–275</t>
        </is>
      </c>
      <c r="N138" s="9" t="inlineStr">
        <is>
          <t>20–275</t>
        </is>
      </c>
      <c r="O138" s="9" t="inlineStr">
        <is>
          <t>Variable</t>
        </is>
      </c>
      <c r="P138" s="9" t="inlineStr">
        <is>
          <t>Required for ratio calculation; normalises for urine concentration</t>
        </is>
      </c>
    </row>
    <row r="139" ht="32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7" t="inlineStr">
        <is>
          <t>Calcium:Creatinine Ratio</t>
        </is>
      </c>
      <c r="L139" s="6" t="inlineStr">
        <is>
          <t>mg/mg</t>
        </is>
      </c>
      <c r="M139" s="6" t="inlineStr">
        <is>
          <t>&lt; 0.20</t>
        </is>
      </c>
      <c r="N139" s="6" t="inlineStr">
        <is>
          <t>&lt; 0.20</t>
        </is>
      </c>
      <c r="O139" s="6" t="inlineStr">
        <is>
          <t>&lt; 0.20 (child &lt; 0.8 infant)</t>
        </is>
      </c>
      <c r="P139" s="6" t="inlineStr">
        <is>
          <t>Ratio &gt; 0.20 = hypercalciuria | Useful screening tool for nephrolithiasis risk and hypercalciuria workup</t>
        </is>
      </c>
    </row>
    <row r="140" ht="6" customHeight="1">
      <c r="A140" s="8" t="n"/>
    </row>
    <row r="141" ht="22" customHeight="1">
      <c r="A141" s="3" t="inlineStr">
        <is>
          <t xml:space="preserve">  [136]  UCR  —  Urinary Creatinine (Spot)  |  Dept: Chemistry  |  Price: Rs 700  |  Fasting: No  |  TAT: 4 hrs</t>
        </is>
      </c>
    </row>
    <row r="142" ht="18" customHeight="1">
      <c r="A142" s="4" t="inlineStr">
        <is>
          <t xml:space="preserve">   Specimen: Spot Urine   |   Container: Plain urine container   |   Volume: 10 mL spot</t>
        </is>
      </c>
    </row>
    <row r="143" ht="18" customHeight="1">
      <c r="A143" s="5" t="inlineStr"/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>
        <is>
          <t>Parameter</t>
        </is>
      </c>
      <c r="L143" s="5" t="inlineStr">
        <is>
          <t>Unit</t>
        </is>
      </c>
      <c r="M143" s="5" t="inlineStr">
        <is>
          <t>Normal Range (Male)</t>
        </is>
      </c>
      <c r="N143" s="5" t="inlineStr">
        <is>
          <t>Normal Range (Female)</t>
        </is>
      </c>
      <c r="O143" s="5" t="inlineStr">
        <is>
          <t>Normal Range (Paediatric)</t>
        </is>
      </c>
      <c r="P143" s="5" t="inlineStr">
        <is>
          <t>Critical Values / Clinical Significance</t>
        </is>
      </c>
    </row>
    <row r="144" ht="32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7" t="inlineStr">
        <is>
          <t>Spot Urine Creatinine</t>
        </is>
      </c>
      <c r="L144" s="6" t="inlineStr">
        <is>
          <t>mg/dL</t>
        </is>
      </c>
      <c r="M144" s="6" t="inlineStr">
        <is>
          <t>20–275</t>
        </is>
      </c>
      <c r="N144" s="6" t="inlineStr">
        <is>
          <t>20–275</t>
        </is>
      </c>
      <c r="O144" s="6" t="inlineStr">
        <is>
          <t>Variable</t>
        </is>
      </c>
      <c r="P144" s="6" t="inlineStr">
        <is>
          <t>Used as denominator for spot urine ratios (ACR, PCR, Ca:Cr, etc.). Reflects urine concentration. Very low = dilute urine (result may be unreliable)</t>
        </is>
      </c>
    </row>
    <row r="145" ht="6" customHeight="1">
      <c r="A145" s="8" t="n"/>
    </row>
    <row r="146" ht="22" customHeight="1">
      <c r="A146" s="3" t="inlineStr">
        <is>
          <t xml:space="preserve">  [137]  UEL  —  Urine Electrolyte (Spot)  |  Dept: Chemistry  |  Price: Rs 1,000  |  Fasting: No  |  TAT: 4 hrs</t>
        </is>
      </c>
    </row>
    <row r="147" ht="18" customHeight="1">
      <c r="A147" s="4" t="inlineStr">
        <is>
          <t xml:space="preserve">   Specimen: Spot Urine   |   Container: Plain urine container   |   Volume: 10 mL spot</t>
        </is>
      </c>
    </row>
    <row r="148" ht="18" customHeight="1">
      <c r="A148" s="5" t="inlineStr"/>
      <c r="B148" s="5" t="inlineStr"/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>
        <is>
          <t>Parameter</t>
        </is>
      </c>
      <c r="L148" s="5" t="inlineStr">
        <is>
          <t>Unit</t>
        </is>
      </c>
      <c r="M148" s="5" t="inlineStr">
        <is>
          <t>Normal Range (Male)</t>
        </is>
      </c>
      <c r="N148" s="5" t="inlineStr">
        <is>
          <t>Normal Range (Female)</t>
        </is>
      </c>
      <c r="O148" s="5" t="inlineStr">
        <is>
          <t>Normal Range (Paediatric)</t>
        </is>
      </c>
      <c r="P148" s="5" t="inlineStr">
        <is>
          <t>Critical Values / Clinical Significance</t>
        </is>
      </c>
    </row>
    <row r="149" ht="32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7" t="inlineStr">
        <is>
          <t>Spot Urine Sodium</t>
        </is>
      </c>
      <c r="L149" s="6" t="inlineStr">
        <is>
          <t>mmol/L</t>
        </is>
      </c>
      <c r="M149" s="6" t="inlineStr">
        <is>
          <t>Variable</t>
        </is>
      </c>
      <c r="N149" s="6" t="inlineStr">
        <is>
          <t>Variable</t>
        </is>
      </c>
      <c r="O149" s="6" t="inlineStr">
        <is>
          <t>—</t>
        </is>
      </c>
      <c r="P149" s="6" t="inlineStr">
        <is>
          <t>&lt; 20 = pre-renal AKI / effective hypovolaemia; &gt; 40 = intrinsic renal (ATN), SIADH</t>
        </is>
      </c>
    </row>
    <row r="150" ht="32" customHeight="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10" t="inlineStr">
        <is>
          <t>Spot Urine Potassium</t>
        </is>
      </c>
      <c r="L150" s="9" t="inlineStr">
        <is>
          <t>mmol/L</t>
        </is>
      </c>
      <c r="M150" s="9" t="inlineStr">
        <is>
          <t>Variable</t>
        </is>
      </c>
      <c r="N150" s="9" t="inlineStr">
        <is>
          <t>Variable</t>
        </is>
      </c>
      <c r="O150" s="9" t="inlineStr">
        <is>
          <t>—</t>
        </is>
      </c>
      <c r="P150" s="9" t="inlineStr">
        <is>
          <t>Urine K &gt; 40 with hypokalaemia = renal K wasting (hyperaldosteronism, diuretics); &lt; 20 = extrarenal loss (vomiting, diarrhoea)</t>
        </is>
      </c>
    </row>
    <row r="151" ht="32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7" t="inlineStr">
        <is>
          <t>Spot Urine Chloride</t>
        </is>
      </c>
      <c r="L151" s="6" t="inlineStr">
        <is>
          <t>mmol/L</t>
        </is>
      </c>
      <c r="M151" s="6" t="inlineStr">
        <is>
          <t>Variable</t>
        </is>
      </c>
      <c r="N151" s="6" t="inlineStr">
        <is>
          <t>Variable</t>
        </is>
      </c>
      <c r="O151" s="6" t="inlineStr">
        <is>
          <t>—</t>
        </is>
      </c>
      <c r="P151" s="6" t="inlineStr">
        <is>
          <t>&lt; 10 = chloride-responsive metabolic alkalosis (vomiting, diuretic); &gt; 25 = chloride-resistant (Bartter's, Gitelman's)</t>
        </is>
      </c>
    </row>
    <row r="152" ht="32" customHeight="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10" t="inlineStr">
        <is>
          <t>Fractional Excretion of Na (FeNa)</t>
        </is>
      </c>
      <c r="L152" s="9" t="inlineStr">
        <is>
          <t xml:space="preserve">% </t>
        </is>
      </c>
      <c r="M152" s="9" t="inlineStr">
        <is>
          <t>&lt; 1% (pre-renal)</t>
        </is>
      </c>
      <c r="N152" s="9" t="inlineStr">
        <is>
          <t>&lt; 1%</t>
        </is>
      </c>
      <c r="O152" s="9" t="inlineStr">
        <is>
          <t>—</t>
        </is>
      </c>
      <c r="P152" s="9" t="inlineStr">
        <is>
          <t>FeNa = (UNa × SCr) / (SNa × UCr) × 100 | &lt; 1% = pre-renal; &gt; 2% = ATN/intrinsic renal</t>
        </is>
      </c>
    </row>
    <row r="153" ht="6" customHeight="1">
      <c r="A153" s="8" t="n"/>
    </row>
    <row r="154" ht="22" customHeight="1">
      <c r="A154" s="3" t="inlineStr">
        <is>
          <t xml:space="preserve">  [138]  UIBC  —  UIBC (Unsaturated Iron Binding Capacity)  |  Dept: Chemistry  |  Price: Rs 1,000  |  Fasting: No  |  TAT: 4 hrs</t>
        </is>
      </c>
    </row>
    <row r="155" ht="18" customHeight="1">
      <c r="A155" s="4" t="inlineStr">
        <is>
          <t xml:space="preserve">   Specimen: Serum   |   Container: SST (Yellow top)   |   Volume: 3 mL</t>
        </is>
      </c>
    </row>
    <row r="156" ht="18" customHeight="1">
      <c r="A156" s="5" t="inlineStr"/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>
        <is>
          <t>Parameter</t>
        </is>
      </c>
      <c r="L156" s="5" t="inlineStr">
        <is>
          <t>Unit</t>
        </is>
      </c>
      <c r="M156" s="5" t="inlineStr">
        <is>
          <t>Normal Range (Male)</t>
        </is>
      </c>
      <c r="N156" s="5" t="inlineStr">
        <is>
          <t>Normal Range (Female)</t>
        </is>
      </c>
      <c r="O156" s="5" t="inlineStr">
        <is>
          <t>Normal Range (Paediatric)</t>
        </is>
      </c>
      <c r="P156" s="5" t="inlineStr">
        <is>
          <t>Critical Values / Clinical Significance</t>
        </is>
      </c>
    </row>
    <row r="157" ht="32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7" t="inlineStr">
        <is>
          <t>UIBC</t>
        </is>
      </c>
      <c r="L157" s="6" t="inlineStr">
        <is>
          <t>µg/dL</t>
        </is>
      </c>
      <c r="M157" s="6" t="inlineStr">
        <is>
          <t>111–343</t>
        </is>
      </c>
      <c r="N157" s="6" t="inlineStr">
        <is>
          <t>111–343</t>
        </is>
      </c>
      <c r="O157" s="6" t="inlineStr">
        <is>
          <t>Variable</t>
        </is>
      </c>
      <c r="P157" s="6">
        <f> TIBC − Serum Iron | High UIBC = iron deficiency anaemia (more binding capacity available); Low UIBC = iron overload, haemochromatosis, haemolytic anaemia</f>
        <v/>
      </c>
    </row>
    <row r="158" ht="6" customHeight="1">
      <c r="A158" s="8" t="n"/>
    </row>
    <row r="159" ht="22" customHeight="1">
      <c r="A159" s="3" t="inlineStr">
        <is>
          <t xml:space="preserve">  [139]  UMG  —  Urine Magnesium (Spot)  |  Dept: Chemistry  |  Price: Rs 800  |  Fasting: No  |  TAT: 4 hrs</t>
        </is>
      </c>
    </row>
    <row r="160" ht="18" customHeight="1">
      <c r="A160" s="4" t="inlineStr">
        <is>
          <t xml:space="preserve">   Specimen: Spot Urine   |   Container: Plain urine container   |   Volume: 10 mL spot</t>
        </is>
      </c>
    </row>
    <row r="161" ht="18" customHeight="1">
      <c r="A161" s="5" t="inlineStr"/>
      <c r="B161" s="5" t="inlineStr"/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>
        <is>
          <t>Parameter</t>
        </is>
      </c>
      <c r="L161" s="5" t="inlineStr">
        <is>
          <t>Unit</t>
        </is>
      </c>
      <c r="M161" s="5" t="inlineStr">
        <is>
          <t>Normal Range (Male)</t>
        </is>
      </c>
      <c r="N161" s="5" t="inlineStr">
        <is>
          <t>Normal Range (Female)</t>
        </is>
      </c>
      <c r="O161" s="5" t="inlineStr">
        <is>
          <t>Normal Range (Paediatric)</t>
        </is>
      </c>
      <c r="P161" s="5" t="inlineStr">
        <is>
          <t>Critical Values / Clinical Significance</t>
        </is>
      </c>
    </row>
    <row r="162" ht="32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7" t="inlineStr">
        <is>
          <t>Spot Urine Magnesium</t>
        </is>
      </c>
      <c r="L162" s="6" t="inlineStr">
        <is>
          <t>mmol/L</t>
        </is>
      </c>
      <c r="M162" s="6" t="inlineStr">
        <is>
          <t>3.0–5.0</t>
        </is>
      </c>
      <c r="N162" s="6" t="inlineStr">
        <is>
          <t>3.0–5.0</t>
        </is>
      </c>
      <c r="O162" s="6" t="inlineStr">
        <is>
          <t>Variable</t>
        </is>
      </c>
      <c r="P162" s="6" t="inlineStr">
        <is>
          <t>Low = renal Mg wasting, loop diuretics, cisplatin toxicity; Elevated = excess Mg intake, renal failure with Mg infusion. Used to differentiate renal vs GI cause of hypomagnesaemia</t>
        </is>
      </c>
    </row>
    <row r="163" ht="32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10" t="inlineStr">
        <is>
          <t>Fractional Excretion of Mg (FEMg)</t>
        </is>
      </c>
      <c r="L163" s="9" t="inlineStr">
        <is>
          <t xml:space="preserve">% </t>
        </is>
      </c>
      <c r="M163" s="9" t="inlineStr">
        <is>
          <t>&lt; 2%</t>
        </is>
      </c>
      <c r="N163" s="9" t="inlineStr">
        <is>
          <t>&lt; 2%</t>
        </is>
      </c>
      <c r="O163" s="9" t="inlineStr">
        <is>
          <t>—</t>
        </is>
      </c>
      <c r="P163" s="9" t="inlineStr">
        <is>
          <t>FEMg &gt; 2% with hypomagnesaemia = renal wasting; &lt; 2% = extrarenal loss (GI malabsorption, diarrhoea)</t>
        </is>
      </c>
    </row>
    <row r="164" ht="6" customHeight="1">
      <c r="A164" s="8" t="n"/>
    </row>
    <row r="165" ht="22" customHeight="1">
      <c r="A165" s="3" t="inlineStr">
        <is>
          <t xml:space="preserve">  [140]  UOS  —  Urine Osmolality  |  Dept: Chemistry  |  Price: Rs 1,600  |  Fasting: No  |  TAT: 4 hrs</t>
        </is>
      </c>
    </row>
    <row r="166" ht="18" customHeight="1">
      <c r="A166" s="4" t="inlineStr">
        <is>
          <t xml:space="preserve">   Specimen: Spot Urine   |   Container: Plain urine container   |   Volume: 10 mL spot</t>
        </is>
      </c>
    </row>
    <row r="167" ht="18" customHeight="1">
      <c r="A167" s="5" t="inlineStr"/>
      <c r="B167" s="5" t="inlineStr"/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>
        <is>
          <t>Parameter</t>
        </is>
      </c>
      <c r="L167" s="5" t="inlineStr">
        <is>
          <t>Unit</t>
        </is>
      </c>
      <c r="M167" s="5" t="inlineStr">
        <is>
          <t>Normal Range (Male)</t>
        </is>
      </c>
      <c r="N167" s="5" t="inlineStr">
        <is>
          <t>Normal Range (Female)</t>
        </is>
      </c>
      <c r="O167" s="5" t="inlineStr">
        <is>
          <t>Normal Range (Paediatric)</t>
        </is>
      </c>
      <c r="P167" s="5" t="inlineStr">
        <is>
          <t>Critical Values / Clinical Significance</t>
        </is>
      </c>
    </row>
    <row r="168" ht="32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7" t="inlineStr">
        <is>
          <t>Urine Osmolality</t>
        </is>
      </c>
      <c r="L168" s="6" t="inlineStr">
        <is>
          <t>mOsm/kg</t>
        </is>
      </c>
      <c r="M168" s="6" t="inlineStr">
        <is>
          <t>300–900</t>
        </is>
      </c>
      <c r="N168" s="6" t="inlineStr">
        <is>
          <t>300–900</t>
        </is>
      </c>
      <c r="O168" s="6" t="inlineStr">
        <is>
          <t>50–1400</t>
        </is>
      </c>
      <c r="P168" s="6" t="inlineStr">
        <is>
          <t>CRIT &lt; 100 = severe dilution | &lt; 100 = diabetes insipidus / psychogenic polydipsia; 100–300 = dilute; 300–600 = isosthenuric (renal failure); &gt; 800 = concentrated (dehydration, SIADH)</t>
        </is>
      </c>
    </row>
    <row r="169" ht="32" customHeight="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10" t="inlineStr">
        <is>
          <t>Urine:Serum Osmolality Ratio</t>
        </is>
      </c>
      <c r="L169" s="9" t="inlineStr">
        <is>
          <t>—</t>
        </is>
      </c>
      <c r="M169" s="9" t="inlineStr">
        <is>
          <t>1.0–3.0</t>
        </is>
      </c>
      <c r="N169" s="9" t="inlineStr">
        <is>
          <t>1.0–3.0</t>
        </is>
      </c>
      <c r="O169" s="9" t="inlineStr">
        <is>
          <t>—</t>
        </is>
      </c>
      <c r="P169" s="9" t="inlineStr">
        <is>
          <t>&lt; 1.0 = diabetes insipidus; &gt; 1.0 = SIADH; Used to distinguish causes of hyponatraemia</t>
        </is>
      </c>
    </row>
    <row r="170" ht="6" customHeight="1">
      <c r="A170" s="8" t="n"/>
    </row>
    <row r="171" ht="22" customHeight="1">
      <c r="A171" s="3" t="inlineStr">
        <is>
          <t xml:space="preserve">  [141]  UPCR  —  Urine Protein:Creatinine Ratio  |  Dept: Chemistry  |  Price: Rs 1,100  |  Fasting: No  |  TAT: 4 hrs</t>
        </is>
      </c>
    </row>
    <row r="172" ht="18" customHeight="1">
      <c r="A172" s="4" t="inlineStr">
        <is>
          <t xml:space="preserve">   Specimen: Spot Urine (first morning void preferred)   |   Container: Plain urine container   |   Volume: 10 mL spot</t>
        </is>
      </c>
    </row>
    <row r="173" ht="18" customHeight="1">
      <c r="A173" s="5" t="inlineStr"/>
      <c r="B173" s="5" t="inlineStr"/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>
        <is>
          <t>Parameter</t>
        </is>
      </c>
      <c r="L173" s="5" t="inlineStr">
        <is>
          <t>Unit</t>
        </is>
      </c>
      <c r="M173" s="5" t="inlineStr">
        <is>
          <t>Normal Range (Male)</t>
        </is>
      </c>
      <c r="N173" s="5" t="inlineStr">
        <is>
          <t>Normal Range (Female)</t>
        </is>
      </c>
      <c r="O173" s="5" t="inlineStr">
        <is>
          <t>Normal Range (Paediatric)</t>
        </is>
      </c>
      <c r="P173" s="5" t="inlineStr">
        <is>
          <t>Critical Values / Clinical Significance</t>
        </is>
      </c>
    </row>
    <row r="174" ht="32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7" t="inlineStr">
        <is>
          <t>Spot Urine Protein</t>
        </is>
      </c>
      <c r="L174" s="6" t="inlineStr">
        <is>
          <t>mg/dL</t>
        </is>
      </c>
      <c r="M174" s="6" t="inlineStr">
        <is>
          <t>&lt; 15</t>
        </is>
      </c>
      <c r="N174" s="6" t="inlineStr">
        <is>
          <t>&lt; 15</t>
        </is>
      </c>
      <c r="O174" s="6" t="inlineStr">
        <is>
          <t>&lt; 15</t>
        </is>
      </c>
      <c r="P174" s="6" t="inlineStr">
        <is>
          <t>Elevated = proteinuria</t>
        </is>
      </c>
    </row>
    <row r="175" ht="32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10" t="inlineStr">
        <is>
          <t>Spot Urine Creatinine</t>
        </is>
      </c>
      <c r="L175" s="9" t="inlineStr">
        <is>
          <t>mg/dL</t>
        </is>
      </c>
      <c r="M175" s="9" t="inlineStr">
        <is>
          <t>20–275</t>
        </is>
      </c>
      <c r="N175" s="9" t="inlineStr">
        <is>
          <t>20–275</t>
        </is>
      </c>
      <c r="O175" s="9" t="inlineStr">
        <is>
          <t>Variable</t>
        </is>
      </c>
      <c r="P175" s="9" t="inlineStr">
        <is>
          <t>Denominator for ratio; normalises for concentration</t>
        </is>
      </c>
    </row>
    <row r="176" ht="32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7" t="inlineStr">
        <is>
          <t>Protein:Creatinine Ratio (PCR)</t>
        </is>
      </c>
      <c r="L176" s="6" t="inlineStr">
        <is>
          <t>mg/mg Cr</t>
        </is>
      </c>
      <c r="M176" s="6" t="inlineStr">
        <is>
          <t>&lt; 0.2</t>
        </is>
      </c>
      <c r="N176" s="6" t="inlineStr">
        <is>
          <t>&lt; 0.2</t>
        </is>
      </c>
      <c r="O176" s="6" t="inlineStr">
        <is>
          <t>&lt; 0.2</t>
        </is>
      </c>
      <c r="P176" s="6" t="inlineStr">
        <is>
          <t>CRIT &gt; 3.5 (nephrotic) | &lt; 0.2 = normal; 0.2–3.5 = non-nephrotic proteinuria; &gt; 3.5 = nephrotic-range. Correlates with 24h urine protein (g/g ≈ g/24h)</t>
        </is>
      </c>
    </row>
    <row r="177" ht="6" customHeight="1">
      <c r="A177" s="8" t="n"/>
    </row>
    <row r="178" ht="22" customHeight="1">
      <c r="A178" s="3" t="inlineStr">
        <is>
          <t xml:space="preserve">  [142]  UPH  —  Urine Phosphorus (Spot)  |  Dept: Chemistry  |  Price: Rs 700  |  Fasting: No  |  TAT: 4 hrs</t>
        </is>
      </c>
    </row>
    <row r="179" ht="18" customHeight="1">
      <c r="A179" s="4" t="inlineStr">
        <is>
          <t xml:space="preserve">   Specimen: Spot Urine   |   Container: Plain urine container   |   Volume: 10 mL spot</t>
        </is>
      </c>
    </row>
    <row r="180" ht="18" customHeight="1">
      <c r="A180" s="5" t="inlineStr"/>
      <c r="B180" s="5" t="inlineStr"/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>
        <is>
          <t>Parameter</t>
        </is>
      </c>
      <c r="L180" s="5" t="inlineStr">
        <is>
          <t>Unit</t>
        </is>
      </c>
      <c r="M180" s="5" t="inlineStr">
        <is>
          <t>Normal Range (Male)</t>
        </is>
      </c>
      <c r="N180" s="5" t="inlineStr">
        <is>
          <t>Normal Range (Female)</t>
        </is>
      </c>
      <c r="O180" s="5" t="inlineStr">
        <is>
          <t>Normal Range (Paediatric)</t>
        </is>
      </c>
      <c r="P180" s="5" t="inlineStr">
        <is>
          <t>Critical Values / Clinical Significance</t>
        </is>
      </c>
    </row>
    <row r="181" ht="32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7" t="inlineStr">
        <is>
          <t>Spot Urine Phosphorus</t>
        </is>
      </c>
      <c r="L181" s="6" t="inlineStr">
        <is>
          <t>mg/dL</t>
        </is>
      </c>
      <c r="M181" s="6" t="inlineStr">
        <is>
          <t>Variable</t>
        </is>
      </c>
      <c r="N181" s="6" t="inlineStr">
        <is>
          <t>Variable</t>
        </is>
      </c>
      <c r="O181" s="6" t="inlineStr">
        <is>
          <t>—</t>
        </is>
      </c>
      <c r="P181" s="6" t="inlineStr">
        <is>
          <t>Elevated = hyperphosphaturia (vit D toxicity, hyperparathyroidism, Fanconi syndrome); Low = hypoparathyroidism, severe vit D deficiency</t>
        </is>
      </c>
    </row>
    <row r="182" ht="32" customHeight="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10" t="inlineStr">
        <is>
          <t>Tubular Maximum for Phosphate (TmP/GFR)</t>
        </is>
      </c>
      <c r="L182" s="9" t="inlineStr">
        <is>
          <t>mg/dL GFR</t>
        </is>
      </c>
      <c r="M182" s="9" t="inlineStr">
        <is>
          <t>2.5–4.2</t>
        </is>
      </c>
      <c r="N182" s="9" t="inlineStr">
        <is>
          <t>2.5–4.2</t>
        </is>
      </c>
      <c r="O182" s="9" t="inlineStr">
        <is>
          <t>—</t>
        </is>
      </c>
      <c r="P182" s="9" t="inlineStr">
        <is>
          <t>Low TmP/GFR = renal phosphate wasting (hyperparathyroidism, FGF-23 excess, Fanconi syndrome)</t>
        </is>
      </c>
    </row>
    <row r="183" ht="6" customHeight="1">
      <c r="A183" s="8" t="n"/>
    </row>
    <row r="184" ht="22" customHeight="1">
      <c r="A184" s="3" t="inlineStr">
        <is>
          <t xml:space="preserve">  [143]  UPRO  —  Urine Protein (Spot)  |  Dept: Chemistry  |  Price: Rs 700  |  Fasting: No  |  TAT: 4 hrs</t>
        </is>
      </c>
    </row>
    <row r="185" ht="18" customHeight="1">
      <c r="A185" s="4" t="inlineStr">
        <is>
          <t xml:space="preserve">   Specimen: Spot Urine   |   Container: Plain urine container   |   Volume: 10 mL spot</t>
        </is>
      </c>
    </row>
    <row r="186" ht="18" customHeight="1">
      <c r="A186" s="5" t="inlineStr"/>
      <c r="B186" s="5" t="inlineStr"/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>
        <is>
          <t>Parameter</t>
        </is>
      </c>
      <c r="L186" s="5" t="inlineStr">
        <is>
          <t>Unit</t>
        </is>
      </c>
      <c r="M186" s="5" t="inlineStr">
        <is>
          <t>Normal Range (Male)</t>
        </is>
      </c>
      <c r="N186" s="5" t="inlineStr">
        <is>
          <t>Normal Range (Female)</t>
        </is>
      </c>
      <c r="O186" s="5" t="inlineStr">
        <is>
          <t>Normal Range (Paediatric)</t>
        </is>
      </c>
      <c r="P186" s="5" t="inlineStr">
        <is>
          <t>Critical Values / Clinical Significance</t>
        </is>
      </c>
    </row>
    <row r="187" ht="32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7" t="inlineStr">
        <is>
          <t>Spot Urine Protein</t>
        </is>
      </c>
      <c r="L187" s="6" t="inlineStr">
        <is>
          <t>mg/dL</t>
        </is>
      </c>
      <c r="M187" s="6" t="inlineStr">
        <is>
          <t>&lt; 15</t>
        </is>
      </c>
      <c r="N187" s="6" t="inlineStr">
        <is>
          <t>&lt; 15</t>
        </is>
      </c>
      <c r="O187" s="6" t="inlineStr">
        <is>
          <t>&lt; 10</t>
        </is>
      </c>
      <c r="P187" s="6" t="inlineStr">
        <is>
          <t>Trace = normal; &gt; 30 mg/dL = significant proteinuria. Confirm with PCR or 24h urine protein. Dipstick positive at ≥ 30 mg/dL</t>
        </is>
      </c>
    </row>
    <row r="188" ht="32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10" t="inlineStr">
        <is>
          <t>Urine Protein:Creatinine Ratio (PCR)</t>
        </is>
      </c>
      <c r="L188" s="9" t="inlineStr">
        <is>
          <t>mg/mg</t>
        </is>
      </c>
      <c r="M188" s="9" t="inlineStr">
        <is>
          <t>&lt; 0.2</t>
        </is>
      </c>
      <c r="N188" s="9" t="inlineStr">
        <is>
          <t>&lt; 0.2</t>
        </is>
      </c>
      <c r="O188" s="9" t="inlineStr">
        <is>
          <t>&lt; 0.2</t>
        </is>
      </c>
      <c r="P188" s="9" t="inlineStr">
        <is>
          <t>CRIT &gt; 3.5 = nephrotic range | Better than spot protein alone. Correlates with 24h collection</t>
        </is>
      </c>
    </row>
    <row r="189" ht="6" customHeight="1">
      <c r="A189" s="8" t="n"/>
    </row>
    <row r="190" ht="22" customHeight="1">
      <c r="A190" s="3" t="inlineStr">
        <is>
          <t xml:space="preserve">  [144]  UREA  —  Blood Urea  |  Dept: Chemistry  |  Price: Rs 600  |  Fasting: No  |  TAT: 4 hrs</t>
        </is>
      </c>
    </row>
    <row r="191" ht="18" customHeight="1">
      <c r="A191" s="4" t="inlineStr">
        <is>
          <t xml:space="preserve">   Specimen: Serum   |   Container: SST (Yellow top)   |   Volume: 3 mL</t>
        </is>
      </c>
    </row>
    <row r="192" ht="18" customHeight="1">
      <c r="A192" s="5" t="inlineStr"/>
      <c r="B192" s="5" t="inlineStr"/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>
        <is>
          <t>Parameter</t>
        </is>
      </c>
      <c r="L192" s="5" t="inlineStr">
        <is>
          <t>Unit</t>
        </is>
      </c>
      <c r="M192" s="5" t="inlineStr">
        <is>
          <t>Normal Range (Male)</t>
        </is>
      </c>
      <c r="N192" s="5" t="inlineStr">
        <is>
          <t>Normal Range (Female)</t>
        </is>
      </c>
      <c r="O192" s="5" t="inlineStr">
        <is>
          <t>Normal Range (Paediatric)</t>
        </is>
      </c>
      <c r="P192" s="5" t="inlineStr">
        <is>
          <t>Critical Values / Clinical Significance</t>
        </is>
      </c>
    </row>
    <row r="193" ht="32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7" t="inlineStr">
        <is>
          <t>Blood Urea</t>
        </is>
      </c>
      <c r="L193" s="6" t="inlineStr">
        <is>
          <t>mg/dL</t>
        </is>
      </c>
      <c r="M193" s="6" t="inlineStr">
        <is>
          <t>15–40</t>
        </is>
      </c>
      <c r="N193" s="6" t="inlineStr">
        <is>
          <t>15–40</t>
        </is>
      </c>
      <c r="O193" s="6" t="inlineStr">
        <is>
          <t>10–30</t>
        </is>
      </c>
      <c r="P193" s="6" t="inlineStr">
        <is>
          <t>CRIT &gt; 150 | Elevated in pre-renal (dehydration, GI bleed), renal failure, high protein diet; Low in liver failure, malnutrition, SIADH</t>
        </is>
      </c>
    </row>
    <row r="194" ht="32" customHeight="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10" t="inlineStr">
        <is>
          <t>BUN (Blood Urea Nitrogen)</t>
        </is>
      </c>
      <c r="L194" s="9" t="inlineStr">
        <is>
          <t>mg/dL</t>
        </is>
      </c>
      <c r="M194" s="9" t="inlineStr">
        <is>
          <t>7–20</t>
        </is>
      </c>
      <c r="N194" s="9" t="inlineStr">
        <is>
          <t>7–20</t>
        </is>
      </c>
      <c r="O194" s="9" t="inlineStr">
        <is>
          <t>5–18</t>
        </is>
      </c>
      <c r="P194" s="9" t="inlineStr">
        <is>
          <t>BUN = Urea × 0.467 | BUN:Cr ratio &gt; 20 = pre-renal; &lt; 10 = intrinsic renal or liver failure</t>
        </is>
      </c>
    </row>
    <row r="195" ht="6" customHeight="1">
      <c r="A195" s="8" t="n"/>
    </row>
    <row r="196" ht="22" customHeight="1">
      <c r="A196" s="3" t="inlineStr">
        <is>
          <t xml:space="preserve">  [145]  UUA  —  Urine Uric Acid (Spot)  |  Dept: Chemistry  |  Price: Rs 700  |  Fasting: No  |  TAT: 4 hrs</t>
        </is>
      </c>
    </row>
    <row r="197" ht="18" customHeight="1">
      <c r="A197" s="4" t="inlineStr">
        <is>
          <t xml:space="preserve">   Specimen: Spot Urine   |   Container: Plain urine container   |   Volume: 10 mL spot</t>
        </is>
      </c>
    </row>
    <row r="198" ht="18" customHeight="1">
      <c r="A198" s="5" t="inlineStr"/>
      <c r="B198" s="5" t="inlineStr"/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>
        <is>
          <t>Parameter</t>
        </is>
      </c>
      <c r="L198" s="5" t="inlineStr">
        <is>
          <t>Unit</t>
        </is>
      </c>
      <c r="M198" s="5" t="inlineStr">
        <is>
          <t>Normal Range (Male)</t>
        </is>
      </c>
      <c r="N198" s="5" t="inlineStr">
        <is>
          <t>Normal Range (Female)</t>
        </is>
      </c>
      <c r="O198" s="5" t="inlineStr">
        <is>
          <t>Normal Range (Paediatric)</t>
        </is>
      </c>
      <c r="P198" s="5" t="inlineStr">
        <is>
          <t>Critical Values / Clinical Significance</t>
        </is>
      </c>
    </row>
    <row r="199" ht="32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7" t="inlineStr">
        <is>
          <t>Spot Urine Uric Acid</t>
        </is>
      </c>
      <c r="L199" s="6" t="inlineStr">
        <is>
          <t>mg/dL</t>
        </is>
      </c>
      <c r="M199" s="6" t="inlineStr">
        <is>
          <t>Variable</t>
        </is>
      </c>
      <c r="N199" s="6" t="inlineStr">
        <is>
          <t>Variable</t>
        </is>
      </c>
      <c r="O199" s="6" t="inlineStr">
        <is>
          <t>—</t>
        </is>
      </c>
      <c r="P199" s="6" t="inlineStr">
        <is>
          <t>Elevated = gout (overproduction type), tumour lysis syndrome, Lesch-Nyhan; Low = underexcretion type gout, renal failure</t>
        </is>
      </c>
    </row>
    <row r="200" ht="32" customHeight="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10" t="inlineStr">
        <is>
          <t>Urine Uric Acid:Creatinine Ratio</t>
        </is>
      </c>
      <c r="L200" s="9" t="inlineStr">
        <is>
          <t>—</t>
        </is>
      </c>
      <c r="M200" s="9" t="inlineStr">
        <is>
          <t>&lt; 0.6</t>
        </is>
      </c>
      <c r="N200" s="9" t="inlineStr">
        <is>
          <t>&lt; 0.6</t>
        </is>
      </c>
      <c r="O200" s="9" t="inlineStr">
        <is>
          <t>—</t>
        </is>
      </c>
      <c r="P200" s="9" t="inlineStr">
        <is>
          <t>Ratio &gt; 0.6 = overproduction of uric acid; &lt; 0.6 with hyperuricaemia = underexcretion (most common cause of gout)</t>
        </is>
      </c>
    </row>
    <row r="201" ht="6" customHeight="1">
      <c r="A201" s="8" t="n"/>
    </row>
    <row r="202" ht="22" customHeight="1">
      <c r="A202" s="3" t="inlineStr">
        <is>
          <t xml:space="preserve">  [146]  UUR  —  Urine for Urea (Spot)  |  Dept: Chemistry  |  Price: Rs 700  |  Fasting: No  |  TAT: 4 hrs</t>
        </is>
      </c>
    </row>
    <row r="203" ht="18" customHeight="1">
      <c r="A203" s="4" t="inlineStr">
        <is>
          <t xml:space="preserve">   Specimen: Spot Urine   |   Container: Plain urine container   |   Volume: 10 mL spot</t>
        </is>
      </c>
    </row>
    <row r="204" ht="18" customHeight="1">
      <c r="A204" s="5" t="inlineStr"/>
      <c r="B204" s="5" t="inlineStr"/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>
        <is>
          <t>Parameter</t>
        </is>
      </c>
      <c r="L204" s="5" t="inlineStr">
        <is>
          <t>Unit</t>
        </is>
      </c>
      <c r="M204" s="5" t="inlineStr">
        <is>
          <t>Normal Range (Male)</t>
        </is>
      </c>
      <c r="N204" s="5" t="inlineStr">
        <is>
          <t>Normal Range (Female)</t>
        </is>
      </c>
      <c r="O204" s="5" t="inlineStr">
        <is>
          <t>Normal Range (Paediatric)</t>
        </is>
      </c>
      <c r="P204" s="5" t="inlineStr">
        <is>
          <t>Critical Values / Clinical Significance</t>
        </is>
      </c>
    </row>
    <row r="205" ht="32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7" t="inlineStr">
        <is>
          <t>Spot Urine Urea</t>
        </is>
      </c>
      <c r="L205" s="6" t="inlineStr">
        <is>
          <t>mmol/L</t>
        </is>
      </c>
      <c r="M205" s="6" t="inlineStr">
        <is>
          <t>Variable</t>
        </is>
      </c>
      <c r="N205" s="6" t="inlineStr">
        <is>
          <t>Variable</t>
        </is>
      </c>
      <c r="O205" s="6" t="inlineStr">
        <is>
          <t>—</t>
        </is>
      </c>
      <c r="P205" s="6" t="inlineStr">
        <is>
          <t>Used in calculation of urea nitrogen appearance (UNA) and nitrogen balance. Also used to estimate dietary protein intake</t>
        </is>
      </c>
    </row>
    <row r="206" ht="32" customHeight="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10" t="inlineStr">
        <is>
          <t>Urea Nitrogen:Creatinine Ratio</t>
        </is>
      </c>
      <c r="L206" s="9" t="inlineStr">
        <is>
          <t>—</t>
        </is>
      </c>
      <c r="M206" s="9" t="inlineStr">
        <is>
          <t>Variable</t>
        </is>
      </c>
      <c r="N206" s="9" t="inlineStr">
        <is>
          <t>Variable</t>
        </is>
      </c>
      <c r="O206" s="9" t="inlineStr">
        <is>
          <t>—</t>
        </is>
      </c>
      <c r="P206" s="9" t="inlineStr">
        <is>
          <t>Elevated = high protein intake or catabolism; Used in nitrogen balance studies</t>
        </is>
      </c>
    </row>
    <row r="207" ht="6" customHeight="1">
      <c r="A207" s="8" t="n"/>
    </row>
    <row r="208" ht="22" customHeight="1">
      <c r="A208" s="3" t="inlineStr">
        <is>
          <t xml:space="preserve">  [147]  VANCO  —  Vancomycin (Drug Level)  |  Dept: Chemistry  |  Price: Rs 1,900  |  Fasting: No  |  TAT: 4 hrs</t>
        </is>
      </c>
    </row>
    <row r="209" ht="18" customHeight="1">
      <c r="A209" s="4" t="inlineStr">
        <is>
          <t xml:space="preserve">   Specimen: Serum   |   Container: Plain Red Top (no gel)   |   Volume: 5 mL</t>
        </is>
      </c>
    </row>
    <row r="210" ht="18" customHeight="1">
      <c r="A210" s="5" t="inlineStr"/>
      <c r="B210" s="5" t="inlineStr"/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>
        <is>
          <t>Parameter</t>
        </is>
      </c>
      <c r="L210" s="5" t="inlineStr">
        <is>
          <t>Unit</t>
        </is>
      </c>
      <c r="M210" s="5" t="inlineStr">
        <is>
          <t>Normal Range (Male)</t>
        </is>
      </c>
      <c r="N210" s="5" t="inlineStr">
        <is>
          <t>Normal Range (Female)</t>
        </is>
      </c>
      <c r="O210" s="5" t="inlineStr">
        <is>
          <t>Normal Range (Paediatric)</t>
        </is>
      </c>
      <c r="P210" s="5" t="inlineStr">
        <is>
          <t>Critical Values / Clinical Significance</t>
        </is>
      </c>
    </row>
    <row r="211" ht="32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7" t="inlineStr">
        <is>
          <t>Vancomycin Trough Level</t>
        </is>
      </c>
      <c r="L211" s="6" t="inlineStr">
        <is>
          <t>µg/mL</t>
        </is>
      </c>
      <c r="M211" s="6" t="inlineStr">
        <is>
          <t>10–20 (therapeutic)</t>
        </is>
      </c>
      <c r="N211" s="6" t="inlineStr">
        <is>
          <t>10–20</t>
        </is>
      </c>
      <c r="O211" s="6" t="inlineStr">
        <is>
          <t>10–15 (paed)</t>
        </is>
      </c>
      <c r="P211" s="6" t="inlineStr">
        <is>
          <t>CRIT &gt; 40 = nephrotoxicity risk | &lt; 10 = subtherapeutic (treatment failure); 10–20 = therapeutic; &gt; 20 = pre-nephrotoxic; &gt; 40 = toxic. Draw trough 30 min before next dose</t>
        </is>
      </c>
    </row>
    <row r="212" ht="32" customHeight="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10" t="inlineStr">
        <is>
          <t>Vancomycin Peak Level (if requested)</t>
        </is>
      </c>
      <c r="L212" s="9" t="inlineStr">
        <is>
          <t>µg/mL</t>
        </is>
      </c>
      <c r="M212" s="9" t="inlineStr">
        <is>
          <t>25–40 (1h post-dose)</t>
        </is>
      </c>
      <c r="N212" s="9" t="inlineStr">
        <is>
          <t>25–40</t>
        </is>
      </c>
      <c r="O212" s="9" t="inlineStr">
        <is>
          <t>20–40</t>
        </is>
      </c>
      <c r="P212" s="9" t="inlineStr">
        <is>
          <t>Peak &gt; 80 = ototoxicity risk. AUC/MIC-guided dosing now preferred over trough-only monitoring</t>
        </is>
      </c>
    </row>
    <row r="213" ht="6" customHeight="1">
      <c r="A213" s="8" t="n"/>
    </row>
    <row r="214" ht="22" customHeight="1">
      <c r="A214" s="3" t="inlineStr">
        <is>
          <t xml:space="preserve">  [148]  VLDL  —  VLDL Cholesterol  |  Dept: Chemistry  |  Price: Rs 1,200  |  Fasting: YES — 12 hrs  |  TAT: 4 hrs</t>
        </is>
      </c>
    </row>
    <row r="215" ht="18" customHeight="1">
      <c r="A215" s="4" t="inlineStr">
        <is>
          <t xml:space="preserve">   Specimen: Serum   |   Container: SST (Yellow top)   |   Volume: 3 mL</t>
        </is>
      </c>
    </row>
    <row r="216" ht="18" customHeight="1">
      <c r="A216" s="5" t="inlineStr"/>
      <c r="B216" s="5" t="inlineStr"/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>
        <is>
          <t>Parameter</t>
        </is>
      </c>
      <c r="L216" s="5" t="inlineStr">
        <is>
          <t>Unit</t>
        </is>
      </c>
      <c r="M216" s="5" t="inlineStr">
        <is>
          <t>Normal Range (Male)</t>
        </is>
      </c>
      <c r="N216" s="5" t="inlineStr">
        <is>
          <t>Normal Range (Female)</t>
        </is>
      </c>
      <c r="O216" s="5" t="inlineStr">
        <is>
          <t>Normal Range (Paediatric)</t>
        </is>
      </c>
      <c r="P216" s="5" t="inlineStr">
        <is>
          <t>Critical Values / Clinical Significance</t>
        </is>
      </c>
    </row>
    <row r="217" ht="32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7" t="inlineStr">
        <is>
          <t>VLDL Cholesterol (calculated)</t>
        </is>
      </c>
      <c r="L217" s="6" t="inlineStr">
        <is>
          <t>mg/dL</t>
        </is>
      </c>
      <c r="M217" s="6" t="inlineStr">
        <is>
          <t>2–30</t>
        </is>
      </c>
      <c r="N217" s="6" t="inlineStr">
        <is>
          <t>2–30</t>
        </is>
      </c>
      <c r="O217" s="6" t="inlineStr">
        <is>
          <t>—</t>
        </is>
      </c>
      <c r="P217" s="6">
        <f> Triglycerides / 5 (Friedewald estimate) | Elevated = hypertriglyceridaemia, metabolic syndrome, DM, hypothyroidism, nephrotic syndrome. Invalid if TG &gt; 400 mg/dL</f>
        <v/>
      </c>
    </row>
    <row r="218" ht="32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10" t="inlineStr">
        <is>
          <t>Triglycerides</t>
        </is>
      </c>
      <c r="L218" s="9" t="inlineStr">
        <is>
          <t>mg/dL</t>
        </is>
      </c>
      <c r="M218" s="9" t="inlineStr">
        <is>
          <t>&lt; 150</t>
        </is>
      </c>
      <c r="N218" s="9" t="inlineStr">
        <is>
          <t>&lt; 150</t>
        </is>
      </c>
      <c r="O218" s="9" t="inlineStr">
        <is>
          <t>&lt; 150</t>
        </is>
      </c>
      <c r="P218" s="9" t="inlineStr">
        <is>
          <t>Required for VLDL calculation. 12-hr fast required for accurate result</t>
        </is>
      </c>
    </row>
    <row r="219" ht="6" customHeight="1">
      <c r="A219" s="8" t="n"/>
    </row>
    <row r="220" ht="22" customHeight="1">
      <c r="A220" s="3" t="inlineStr">
        <is>
          <t xml:space="preserve">  [149]  ZINC  —  Zinc Level  |  Dept: Chemistry  |  Price: Rs 3,000  |  Fasting: No  |  TAT: 48 hrs</t>
        </is>
      </c>
    </row>
    <row r="221" ht="18" customHeight="1">
      <c r="A221" s="4" t="inlineStr">
        <is>
          <t xml:space="preserve">   Specimen: Serum   |   Container: Trace metal-free tube (Royal Blue)   |   Volume: 5 mL</t>
        </is>
      </c>
    </row>
    <row r="222" ht="18" customHeight="1">
      <c r="A222" s="5" t="inlineStr"/>
      <c r="B222" s="5" t="inlineStr"/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>
        <is>
          <t>Parameter</t>
        </is>
      </c>
      <c r="L222" s="5" t="inlineStr">
        <is>
          <t>Unit</t>
        </is>
      </c>
      <c r="M222" s="5" t="inlineStr">
        <is>
          <t>Normal Range (Male)</t>
        </is>
      </c>
      <c r="N222" s="5" t="inlineStr">
        <is>
          <t>Normal Range (Female)</t>
        </is>
      </c>
      <c r="O222" s="5" t="inlineStr">
        <is>
          <t>Normal Range (Paediatric)</t>
        </is>
      </c>
      <c r="P222" s="5" t="inlineStr">
        <is>
          <t>Critical Values / Clinical Significance</t>
        </is>
      </c>
    </row>
    <row r="223" ht="32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7" t="inlineStr">
        <is>
          <t>Serum Zinc</t>
        </is>
      </c>
      <c r="L223" s="6" t="inlineStr">
        <is>
          <t>µg/dL</t>
        </is>
      </c>
      <c r="M223" s="6" t="inlineStr">
        <is>
          <t>70–120</t>
        </is>
      </c>
      <c r="N223" s="6" t="inlineStr">
        <is>
          <t>70–120</t>
        </is>
      </c>
      <c r="O223" s="6" t="inlineStr">
        <is>
          <t>65–105</t>
        </is>
      </c>
      <c r="P223" s="6" t="inlineStr">
        <is>
          <t>CRIT &lt; 40 | Low = malnutrition, acrodermatitis enteropathica, inflammatory bowel disease, burns, alcoholism, TPN without zinc; High = zinc toxicity (industrial exposure, excess supplementation)</t>
        </is>
      </c>
    </row>
    <row r="224" ht="32" customHeight="1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10" t="inlineStr">
        <is>
          <t>Plasma Zinc (if requested)</t>
        </is>
      </c>
      <c r="L224" s="9" t="inlineStr">
        <is>
          <t>µg/dL</t>
        </is>
      </c>
      <c r="M224" s="9" t="inlineStr">
        <is>
          <t>70–120</t>
        </is>
      </c>
      <c r="N224" s="9" t="inlineStr">
        <is>
          <t>70–120</t>
        </is>
      </c>
      <c r="O224" s="9" t="inlineStr">
        <is>
          <t>65–105</t>
        </is>
      </c>
      <c r="P224" s="9" t="inlineStr">
        <is>
          <t>Plasma preferred over serum if haemolysis; avoid EDTA tube — use heparin or metal-free tube</t>
        </is>
      </c>
    </row>
    <row r="225" ht="6" customHeight="1">
      <c r="A225" s="8" t="n"/>
    </row>
    <row r="226" ht="22" customHeight="1">
      <c r="A226" s="3" t="inlineStr">
        <is>
          <t xml:space="preserve">  [150]  APTT  —  aPTT (Activated Partial Thromboplastin Time)  |  Dept: Clotting  |  Price: Rs 1,000  |  Fasting: No  |  TAT: 4 hrs</t>
        </is>
      </c>
    </row>
    <row r="227" ht="18" customHeight="1">
      <c r="A227" s="4" t="inlineStr">
        <is>
          <t xml:space="preserve">   Specimen: Plasma   |   Container: Sodium Citrate (Blue top) — 9:1 ratio   |   Volume: 2.7 mL</t>
        </is>
      </c>
    </row>
    <row r="228" ht="18" customHeight="1">
      <c r="A228" s="5" t="inlineStr"/>
      <c r="B228" s="5" t="inlineStr"/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>
        <is>
          <t>Parameter</t>
        </is>
      </c>
      <c r="L228" s="5" t="inlineStr">
        <is>
          <t>Unit</t>
        </is>
      </c>
      <c r="M228" s="5" t="inlineStr">
        <is>
          <t>Normal Range (Male)</t>
        </is>
      </c>
      <c r="N228" s="5" t="inlineStr">
        <is>
          <t>Normal Range (Female)</t>
        </is>
      </c>
      <c r="O228" s="5" t="inlineStr">
        <is>
          <t>Normal Range (Paediatric)</t>
        </is>
      </c>
      <c r="P228" s="5" t="inlineStr">
        <is>
          <t>Critical Values / Clinical Significance</t>
        </is>
      </c>
    </row>
    <row r="229" ht="32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7" t="inlineStr">
        <is>
          <t>aPTT</t>
        </is>
      </c>
      <c r="L229" s="6" t="inlineStr">
        <is>
          <t>seconds</t>
        </is>
      </c>
      <c r="M229" s="6" t="inlineStr">
        <is>
          <t>25–35</t>
        </is>
      </c>
      <c r="N229" s="6" t="inlineStr">
        <is>
          <t>25–35</t>
        </is>
      </c>
      <c r="O229" s="6" t="inlineStr">
        <is>
          <t>25–35</t>
        </is>
      </c>
      <c r="P229" s="6" t="inlineStr">
        <is>
          <t>CRIT &gt; 100s | Prolonged = intrinsic pathway defect (factors VIII, IX, XI, XII), heparin therapy, DIC, lupus anticoagulant, haemophilia A/B; therapeutic heparin range 60–100s</t>
        </is>
      </c>
    </row>
    <row r="230" ht="32" customHeight="1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10" t="inlineStr">
        <is>
          <t>aPTT Ratio</t>
        </is>
      </c>
      <c r="L230" s="9" t="inlineStr">
        <is>
          <t>—</t>
        </is>
      </c>
      <c r="M230" s="9" t="inlineStr">
        <is>
          <t>0.8–1.2</t>
        </is>
      </c>
      <c r="N230" s="9" t="inlineStr">
        <is>
          <t>0.8–1.2</t>
        </is>
      </c>
      <c r="O230" s="9" t="inlineStr">
        <is>
          <t>0.8–1.2</t>
        </is>
      </c>
      <c r="P230" s="9" t="inlineStr">
        <is>
          <t>CRIT &gt; 3.0 | Ratio = Patient aPTT / Control aPTT; Ratio &gt; 1.5 = prolonged; used to monitor UFH (target 1.5–2.5)</t>
        </is>
      </c>
    </row>
    <row r="231" ht="6" customHeight="1">
      <c r="A231" s="8" t="n"/>
    </row>
    <row r="232" ht="22" customHeight="1">
      <c r="A232" s="3" t="inlineStr">
        <is>
          <t xml:space="preserve">  [151]  ATH3  —  Anti Thrombin III  |  Dept: Clotting  |  Price: Rs 5,200  |  Fasting: No  |  TAT: 24 hrs</t>
        </is>
      </c>
    </row>
    <row r="233" ht="18" customHeight="1">
      <c r="A233" s="4" t="inlineStr">
        <is>
          <t xml:space="preserve">   Specimen: Plasma   |   Container: Sodium Citrate (Blue top) — 9:1 ratio   |   Volume: 2.7 mL</t>
        </is>
      </c>
    </row>
    <row r="234" ht="18" customHeight="1">
      <c r="A234" s="5" t="inlineStr"/>
      <c r="B234" s="5" t="inlineStr"/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>
        <is>
          <t>Parameter</t>
        </is>
      </c>
      <c r="L234" s="5" t="inlineStr">
        <is>
          <t>Unit</t>
        </is>
      </c>
      <c r="M234" s="5" t="inlineStr">
        <is>
          <t>Normal Range (Male)</t>
        </is>
      </c>
      <c r="N234" s="5" t="inlineStr">
        <is>
          <t>Normal Range (Female)</t>
        </is>
      </c>
      <c r="O234" s="5" t="inlineStr">
        <is>
          <t>Normal Range (Paediatric)</t>
        </is>
      </c>
      <c r="P234" s="5" t="inlineStr">
        <is>
          <t>Critical Values / Clinical Significance</t>
        </is>
      </c>
    </row>
    <row r="235" ht="32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7" t="inlineStr">
        <is>
          <t>Anti Thrombin III Activity</t>
        </is>
      </c>
      <c r="L235" s="6" t="inlineStr">
        <is>
          <t xml:space="preserve">% </t>
        </is>
      </c>
      <c r="M235" s="6" t="inlineStr">
        <is>
          <t>80–120%</t>
        </is>
      </c>
      <c r="N235" s="6" t="inlineStr">
        <is>
          <t>80–120%</t>
        </is>
      </c>
      <c r="O235" s="6" t="inlineStr">
        <is>
          <t>80–120%</t>
        </is>
      </c>
      <c r="P235" s="6" t="inlineStr">
        <is>
          <t>CRIT &lt; 50% | Low = inherited AT deficiency (thrombophilia), DIC, liver disease, nephrotic syndrome, heparin therapy; Elevated = inflammation (acute phase)</t>
        </is>
      </c>
    </row>
    <row r="236" ht="32" customHeight="1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10" t="inlineStr">
        <is>
          <t>Anti Thrombin III Antigen</t>
        </is>
      </c>
      <c r="L236" s="9" t="inlineStr">
        <is>
          <t>mg/dL</t>
        </is>
      </c>
      <c r="M236" s="9" t="inlineStr">
        <is>
          <t>17–30</t>
        </is>
      </c>
      <c r="N236" s="9" t="inlineStr">
        <is>
          <t>17–30</t>
        </is>
      </c>
      <c r="O236" s="9" t="inlineStr">
        <is>
          <t>Variable</t>
        </is>
      </c>
      <c r="P236" s="9" t="inlineStr">
        <is>
          <t>Differentiates type I (quantitative) from type II (qualitative/functional) AT deficiency</t>
        </is>
      </c>
    </row>
    <row r="237" ht="6" customHeight="1">
      <c r="A237" s="8" t="n"/>
    </row>
    <row r="238" ht="22" customHeight="1">
      <c r="A238" s="3" t="inlineStr">
        <is>
          <t xml:space="preserve">  [152]  BG  —  Blood Group (ABO + Rh)  |  Dept: Clotting  |  Price: Rs 600  |  Fasting: No  |  TAT: 2 hrs</t>
        </is>
      </c>
    </row>
    <row r="239" ht="18" customHeight="1">
      <c r="A239" s="4" t="inlineStr">
        <is>
          <t xml:space="preserve">   Specimen: Whole Blood   |   Container: EDTA (Purple top)   |   Volume: 3 mL</t>
        </is>
      </c>
    </row>
    <row r="240" ht="18" customHeight="1">
      <c r="A240" s="5" t="inlineStr"/>
      <c r="B240" s="5" t="inlineStr"/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>
        <is>
          <t>Parameter</t>
        </is>
      </c>
      <c r="L240" s="5" t="inlineStr">
        <is>
          <t>Unit</t>
        </is>
      </c>
      <c r="M240" s="5" t="inlineStr">
        <is>
          <t>Normal Range (Male)</t>
        </is>
      </c>
      <c r="N240" s="5" t="inlineStr">
        <is>
          <t>Normal Range (Female)</t>
        </is>
      </c>
      <c r="O240" s="5" t="inlineStr">
        <is>
          <t>Normal Range (Paediatric)</t>
        </is>
      </c>
      <c r="P240" s="5" t="inlineStr">
        <is>
          <t>Critical Values / Clinical Significance</t>
        </is>
      </c>
    </row>
    <row r="241" ht="32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7" t="inlineStr">
        <is>
          <t>ABO Blood Group</t>
        </is>
      </c>
      <c r="L241" s="6" t="inlineStr">
        <is>
          <t>—</t>
        </is>
      </c>
      <c r="M241" s="6" t="inlineStr">
        <is>
          <t>A / B / AB / O</t>
        </is>
      </c>
      <c r="N241" s="6" t="inlineStr">
        <is>
          <t>A / B / AB / O</t>
        </is>
      </c>
      <c r="O241" s="6" t="inlineStr">
        <is>
          <t>A / B / AB / O</t>
        </is>
      </c>
      <c r="P241" s="6" t="inlineStr">
        <is>
          <t>Report ABO group; O = universal donor; AB = universal recipient</t>
        </is>
      </c>
    </row>
    <row r="242" ht="32" customHeight="1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10" t="inlineStr">
        <is>
          <t>Rh (D) Antigen</t>
        </is>
      </c>
      <c r="L242" s="9" t="inlineStr">
        <is>
          <t>—</t>
        </is>
      </c>
      <c r="M242" s="9" t="inlineStr">
        <is>
          <t>Positive or Negative</t>
        </is>
      </c>
      <c r="N242" s="9" t="inlineStr">
        <is>
          <t>Positive or Negative</t>
        </is>
      </c>
      <c r="O242" s="9" t="inlineStr">
        <is>
          <t>Positive or Negative</t>
        </is>
      </c>
      <c r="P242" s="9" t="inlineStr">
        <is>
          <t>Rh negative females of childbearing age: risk of HDN — anti-D prophylaxis may be needed</t>
        </is>
      </c>
    </row>
    <row r="243" ht="6" customHeight="1">
      <c r="A243" s="8" t="n"/>
    </row>
    <row r="244" ht="22" customHeight="1">
      <c r="A244" s="3" t="inlineStr">
        <is>
          <t xml:space="preserve">  [153]  BT  —  Bleeding Time  |  Dept: Clotting  |  Price: Rs 500  |  Fasting: No  |  TAT: 30 min</t>
        </is>
      </c>
    </row>
    <row r="245" ht="18" customHeight="1">
      <c r="A245" s="4" t="inlineStr">
        <is>
          <t xml:space="preserve">   Specimen: Capillary blood — forearm skin puncture   |   Container: Standardised Ivy method   |   Volume: In-vivo test</t>
        </is>
      </c>
    </row>
    <row r="246" ht="18" customHeight="1">
      <c r="A246" s="5" t="inlineStr"/>
      <c r="B246" s="5" t="inlineStr"/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>
        <is>
          <t>Parameter</t>
        </is>
      </c>
      <c r="L246" s="5" t="inlineStr">
        <is>
          <t>Unit</t>
        </is>
      </c>
      <c r="M246" s="5" t="inlineStr">
        <is>
          <t>Normal Range (Male)</t>
        </is>
      </c>
      <c r="N246" s="5" t="inlineStr">
        <is>
          <t>Normal Range (Female)</t>
        </is>
      </c>
      <c r="O246" s="5" t="inlineStr">
        <is>
          <t>Normal Range (Paediatric)</t>
        </is>
      </c>
      <c r="P246" s="5" t="inlineStr">
        <is>
          <t>Critical Values / Clinical Significance</t>
        </is>
      </c>
    </row>
    <row r="247" ht="32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7" t="inlineStr">
        <is>
          <t>Bleeding Time (Ivy method)</t>
        </is>
      </c>
      <c r="L247" s="6" t="inlineStr">
        <is>
          <t>minutes</t>
        </is>
      </c>
      <c r="M247" s="6" t="inlineStr">
        <is>
          <t>2–7</t>
        </is>
      </c>
      <c r="N247" s="6" t="inlineStr">
        <is>
          <t>2–7</t>
        </is>
      </c>
      <c r="O247" s="6" t="inlineStr">
        <is>
          <t>2–7</t>
        </is>
      </c>
      <c r="P247" s="6" t="inlineStr">
        <is>
          <t>CRIT &gt; 15 min | Prolonged = platelet dysfunction (aspirin, NSAIDs, uraemia, VWD, thrombocytopenia). Normal platelet count does NOT exclude platelet function defect</t>
        </is>
      </c>
    </row>
    <row r="248" ht="6" customHeight="1">
      <c r="A248" s="8" t="n"/>
    </row>
    <row r="249" ht="22" customHeight="1">
      <c r="A249" s="3" t="inlineStr">
        <is>
          <t xml:space="preserve">  [154]  CT  —  Clotting Time  |  Dept: Clotting  |  Price: Rs 400  |  Fasting: No  |  TAT: 30 min</t>
        </is>
      </c>
    </row>
    <row r="250" ht="18" customHeight="1">
      <c r="A250" s="4" t="inlineStr">
        <is>
          <t xml:space="preserve">   Specimen: Whole Blood   |   Container: Plain glass tube (Lee-White method)   |   Volume: 2 mL</t>
        </is>
      </c>
    </row>
    <row r="251" ht="18" customHeight="1">
      <c r="A251" s="5" t="inlineStr"/>
      <c r="B251" s="5" t="inlineStr"/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>
        <is>
          <t>Parameter</t>
        </is>
      </c>
      <c r="L251" s="5" t="inlineStr">
        <is>
          <t>Unit</t>
        </is>
      </c>
      <c r="M251" s="5" t="inlineStr">
        <is>
          <t>Normal Range (Male)</t>
        </is>
      </c>
      <c r="N251" s="5" t="inlineStr">
        <is>
          <t>Normal Range (Female)</t>
        </is>
      </c>
      <c r="O251" s="5" t="inlineStr">
        <is>
          <t>Normal Range (Paediatric)</t>
        </is>
      </c>
      <c r="P251" s="5" t="inlineStr">
        <is>
          <t>Critical Values / Clinical Significance</t>
        </is>
      </c>
    </row>
    <row r="252" ht="32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7" t="inlineStr">
        <is>
          <t>Clotting Time (Lee-White)</t>
        </is>
      </c>
      <c r="L252" s="6" t="inlineStr">
        <is>
          <t>minutes</t>
        </is>
      </c>
      <c r="M252" s="6" t="inlineStr">
        <is>
          <t>5–11</t>
        </is>
      </c>
      <c r="N252" s="6" t="inlineStr">
        <is>
          <t>5–11</t>
        </is>
      </c>
      <c r="O252" s="6" t="inlineStr">
        <is>
          <t>5–11</t>
        </is>
      </c>
      <c r="P252" s="6" t="inlineStr">
        <is>
          <t>CRIT &gt; 20 min | Prolonged = severe coagulation factor deficiency, severe thrombocytopenia, DIC, anticoagulant therapy. Largely replaced by aPTT/PT in modern labs</t>
        </is>
      </c>
    </row>
    <row r="253" ht="6" customHeight="1">
      <c r="A253" s="8" t="n"/>
    </row>
    <row r="254" ht="22" customHeight="1">
      <c r="A254" s="3" t="inlineStr">
        <is>
          <t xml:space="preserve">  [155]  FDPs  —  Fibrin Degradation Products (FDPs)  |  Dept: Clotting  |  Price: Rs 2,000  |  Fasting: No  |  TAT: 4 hrs</t>
        </is>
      </c>
    </row>
    <row r="255" ht="18" customHeight="1">
      <c r="A255" s="4" t="inlineStr">
        <is>
          <t xml:space="preserve">   Specimen: Serum (special FDP tube)   |   Container: Special FDP collection tube (with thrombin + inhibitors)   |   Volume: 2 mL</t>
        </is>
      </c>
    </row>
    <row r="256" ht="18" customHeight="1">
      <c r="A256" s="5" t="inlineStr"/>
      <c r="B256" s="5" t="inlineStr"/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>
        <is>
          <t>Parameter</t>
        </is>
      </c>
      <c r="L256" s="5" t="inlineStr">
        <is>
          <t>Unit</t>
        </is>
      </c>
      <c r="M256" s="5" t="inlineStr">
        <is>
          <t>Normal Range (Male)</t>
        </is>
      </c>
      <c r="N256" s="5" t="inlineStr">
        <is>
          <t>Normal Range (Female)</t>
        </is>
      </c>
      <c r="O256" s="5" t="inlineStr">
        <is>
          <t>Normal Range (Paediatric)</t>
        </is>
      </c>
      <c r="P256" s="5" t="inlineStr">
        <is>
          <t>Critical Values / Clinical Significance</t>
        </is>
      </c>
    </row>
    <row r="257" ht="32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7" t="inlineStr">
        <is>
          <t>FDPs (Fibrin/Fibrinogen Degradation Products)</t>
        </is>
      </c>
      <c r="L257" s="6" t="inlineStr">
        <is>
          <t>µg/mL</t>
        </is>
      </c>
      <c r="M257" s="6" t="inlineStr">
        <is>
          <t>&lt; 10</t>
        </is>
      </c>
      <c r="N257" s="6" t="inlineStr">
        <is>
          <t>&lt; 10</t>
        </is>
      </c>
      <c r="O257" s="6" t="inlineStr">
        <is>
          <t>&lt; 10</t>
        </is>
      </c>
      <c r="P257" s="6" t="inlineStr">
        <is>
          <t>CRIT &gt; 40 | Elevated = DIC, PE, DVT, liver disease, surgery, trauma. Less specific than D-Dimer for VTE. Use together with D-Dimer, PT, aPTT, fibrinogen for DIC screen</t>
        </is>
      </c>
    </row>
    <row r="258" ht="6" customHeight="1">
      <c r="A258" s="8" t="n"/>
    </row>
    <row r="259" ht="22" customHeight="1">
      <c r="A259" s="3" t="inlineStr">
        <is>
          <t xml:space="preserve">  [156]  FIB  —  Fibrinogen  |  Dept: Clotting  |  Price: Rs 1,800  |  Fasting: No  |  TAT: 4 hrs</t>
        </is>
      </c>
    </row>
    <row r="260" ht="18" customHeight="1">
      <c r="A260" s="4" t="inlineStr">
        <is>
          <t xml:space="preserve">   Specimen: Plasma   |   Container: Sodium Citrate (Blue top) — 9:1 ratio   |   Volume: 2.7 mL</t>
        </is>
      </c>
    </row>
    <row r="261" ht="18" customHeight="1">
      <c r="A261" s="5" t="inlineStr"/>
      <c r="B261" s="5" t="inlineStr"/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>
        <is>
          <t>Parameter</t>
        </is>
      </c>
      <c r="L261" s="5" t="inlineStr">
        <is>
          <t>Unit</t>
        </is>
      </c>
      <c r="M261" s="5" t="inlineStr">
        <is>
          <t>Normal Range (Male)</t>
        </is>
      </c>
      <c r="N261" s="5" t="inlineStr">
        <is>
          <t>Normal Range (Female)</t>
        </is>
      </c>
      <c r="O261" s="5" t="inlineStr">
        <is>
          <t>Normal Range (Paediatric)</t>
        </is>
      </c>
      <c r="P261" s="5" t="inlineStr">
        <is>
          <t>Critical Values / Clinical Significance</t>
        </is>
      </c>
    </row>
    <row r="262" ht="32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7" t="inlineStr">
        <is>
          <t>Fibrinogen (Factor I)</t>
        </is>
      </c>
      <c r="L262" s="6" t="inlineStr">
        <is>
          <t>mg/dL</t>
        </is>
      </c>
      <c r="M262" s="6" t="inlineStr">
        <is>
          <t>200–400</t>
        </is>
      </c>
      <c r="N262" s="6" t="inlineStr">
        <is>
          <t>200–400</t>
        </is>
      </c>
      <c r="O262" s="6" t="inlineStr">
        <is>
          <t>150–400</t>
        </is>
      </c>
      <c r="P262" s="6" t="inlineStr">
        <is>
          <t>CRIT &lt; 100 (severe DIC/bleeding risk) | Low = DIC, liver failure, fibrinolysis, L-asparaginase; Elevated = acute phase response, pregnancy, MI, stroke, infection (thrombosis risk)</t>
        </is>
      </c>
    </row>
    <row r="263" ht="6" customHeight="1">
      <c r="A263" s="8" t="n"/>
    </row>
    <row r="264" ht="22" customHeight="1">
      <c r="A264" s="3" t="inlineStr">
        <is>
          <t xml:space="preserve">  [157]  LUP  —  LUPUS Anticoagulant  |  Dept: Clotting  |  Price: Rs 5,500  |  Fasting: No  |  TAT: 48 hrs</t>
        </is>
      </c>
    </row>
    <row r="265" ht="18" customHeight="1">
      <c r="A265" s="4" t="inlineStr">
        <is>
          <t xml:space="preserve">   Specimen: Plasma   |   Container: Sodium Citrate (Blue top) — 9:1 ratio x2 tubes   |   Volume: 2.7 mL × 2</t>
        </is>
      </c>
    </row>
    <row r="266" ht="18" customHeight="1">
      <c r="A266" s="5" t="inlineStr"/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>
        <is>
          <t>Parameter</t>
        </is>
      </c>
      <c r="L266" s="5" t="inlineStr">
        <is>
          <t>Unit</t>
        </is>
      </c>
      <c r="M266" s="5" t="inlineStr">
        <is>
          <t>Normal Range (Male)</t>
        </is>
      </c>
      <c r="N266" s="5" t="inlineStr">
        <is>
          <t>Normal Range (Female)</t>
        </is>
      </c>
      <c r="O266" s="5" t="inlineStr">
        <is>
          <t>Normal Range (Paediatric)</t>
        </is>
      </c>
      <c r="P266" s="5" t="inlineStr">
        <is>
          <t>Critical Values / Clinical Significance</t>
        </is>
      </c>
    </row>
    <row r="267" ht="32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7" t="inlineStr">
        <is>
          <t>DRVVT Screen (Dilute Russell Viper Venom Time)</t>
        </is>
      </c>
      <c r="L267" s="6" t="inlineStr">
        <is>
          <t>seconds</t>
        </is>
      </c>
      <c r="M267" s="6" t="inlineStr">
        <is>
          <t>Negative / Ratio &lt; 1.2</t>
        </is>
      </c>
      <c r="N267" s="6" t="inlineStr">
        <is>
          <t>Negative</t>
        </is>
      </c>
      <c r="O267" s="6" t="inlineStr">
        <is>
          <t>Negative</t>
        </is>
      </c>
      <c r="P267" s="6" t="inlineStr">
        <is>
          <t>Positive screen = prolonged DRVVT. Must perform confirmatory test to diagnose LA</t>
        </is>
      </c>
    </row>
    <row r="268" ht="32" customHeight="1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10" t="inlineStr">
        <is>
          <t>DRVVT Confirm ratio</t>
        </is>
      </c>
      <c r="L268" s="9" t="inlineStr">
        <is>
          <t>—</t>
        </is>
      </c>
      <c r="M268" s="9" t="inlineStr">
        <is>
          <t>Ratio &lt; 1.2 (negative)</t>
        </is>
      </c>
      <c r="N268" s="9" t="inlineStr">
        <is>
          <t>Negative</t>
        </is>
      </c>
      <c r="O268" s="9" t="inlineStr">
        <is>
          <t>Negative</t>
        </is>
      </c>
      <c r="P268" s="9" t="inlineStr">
        <is>
          <t>Ratio ≥ 1.2 on confirm = LA positive | Diagnosed if: positive on 2 occasions ≥ 12 wks apart</t>
        </is>
      </c>
    </row>
    <row r="269" ht="32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7" t="inlineStr">
        <is>
          <t>Silica Clot Time (SCT)</t>
        </is>
      </c>
      <c r="L269" s="6" t="inlineStr">
        <is>
          <t>seconds</t>
        </is>
      </c>
      <c r="M269" s="6" t="inlineStr">
        <is>
          <t>Negative</t>
        </is>
      </c>
      <c r="N269" s="6" t="inlineStr">
        <is>
          <t>Negative</t>
        </is>
      </c>
      <c r="O269" s="6" t="inlineStr">
        <is>
          <t>Negative</t>
        </is>
      </c>
      <c r="P269" s="6" t="inlineStr">
        <is>
          <t>Alternative mixing/confirmatory test. Part of LA panel per ISTH guidelines</t>
        </is>
      </c>
    </row>
    <row r="270" ht="32" customHeight="1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10" t="inlineStr">
        <is>
          <t>Lupus Anticoagulant (final interpretation)</t>
        </is>
      </c>
      <c r="L270" s="9" t="inlineStr">
        <is>
          <t>—</t>
        </is>
      </c>
      <c r="M270" s="9" t="inlineStr">
        <is>
          <t>Negative</t>
        </is>
      </c>
      <c r="N270" s="9" t="inlineStr">
        <is>
          <t>Negative</t>
        </is>
      </c>
      <c r="O270" s="9" t="inlineStr">
        <is>
          <t>Negative</t>
        </is>
      </c>
      <c r="P270" s="9" t="inlineStr">
        <is>
          <t>Positive LA = antiphospholipid syndrome (APS) risk: thrombosis, recurrent miscarriage. Part of triple positivity (LA + aCL + anti-β2GPI) = highest thrombotic risk</t>
        </is>
      </c>
    </row>
    <row r="271" ht="6" customHeight="1">
      <c r="A271" s="8" t="n"/>
    </row>
    <row r="272" ht="22" customHeight="1">
      <c r="A272" s="3" t="inlineStr">
        <is>
          <t xml:space="preserve">  [158]  MAN  —  Mantoux Test (Tuberculin Skin Test)  |  Dept: Clotting  |  Price: Rs 700  |  Fasting: No  |  TAT: Read at 48–72 hrs</t>
        </is>
      </c>
    </row>
    <row r="273" ht="18" customHeight="1">
      <c r="A273" s="4" t="inlineStr">
        <is>
          <t xml:space="preserve">   Specimen: Intradermal injection (not a blood test)   |   Container: Tuberculin PPD 0.1 mL intradermal   |   Volume: 0.1 mL PPD</t>
        </is>
      </c>
    </row>
    <row r="274" ht="18" customHeight="1">
      <c r="A274" s="5" t="inlineStr"/>
      <c r="B274" s="5" t="inlineStr"/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>
        <is>
          <t>Parameter</t>
        </is>
      </c>
      <c r="L274" s="5" t="inlineStr">
        <is>
          <t>Unit</t>
        </is>
      </c>
      <c r="M274" s="5" t="inlineStr">
        <is>
          <t>Normal Range (Male)</t>
        </is>
      </c>
      <c r="N274" s="5" t="inlineStr">
        <is>
          <t>Normal Range (Female)</t>
        </is>
      </c>
      <c r="O274" s="5" t="inlineStr">
        <is>
          <t>Normal Range (Paediatric)</t>
        </is>
      </c>
      <c r="P274" s="5" t="inlineStr">
        <is>
          <t>Critical Values / Clinical Significance</t>
        </is>
      </c>
    </row>
    <row r="275" ht="32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7" t="inlineStr">
        <is>
          <t>Induration diameter (read at 48–72 hrs)</t>
        </is>
      </c>
      <c r="L275" s="6" t="inlineStr">
        <is>
          <t>mm</t>
        </is>
      </c>
      <c r="M275" s="6" t="inlineStr">
        <is>
          <t>&lt; 5 mm (negative — general population)</t>
        </is>
      </c>
      <c r="N275" s="6" t="inlineStr">
        <is>
          <t>&lt; 5 mm</t>
        </is>
      </c>
      <c r="O275" s="6" t="inlineStr">
        <is>
          <t>&lt; 5 mm</t>
        </is>
      </c>
      <c r="P275" s="6" t="inlineStr">
        <is>
          <t>≥ 5 mm = positive in HIV, immunocompromised, recent TB contact, CXR changes | ≥ 10 mm = positive in high-risk groups (immigrants, healthcare workers) | ≥ 15 mm = positive in low-risk individuals</t>
        </is>
      </c>
    </row>
    <row r="276" ht="6" customHeight="1">
      <c r="A276" s="8" t="n"/>
    </row>
    <row r="277" ht="22" customHeight="1">
      <c r="A277" s="3" t="inlineStr">
        <is>
          <t xml:space="preserve">  [159]  PLAG  —  Platelet Aggregation Studies (Therapeutic Monitoring)  |  Dept: Clotting  |  Price: Rs 3,500  |  Fasting: No  |  TAT: 4 hrs</t>
        </is>
      </c>
    </row>
    <row r="278" ht="18" customHeight="1">
      <c r="A278" s="4" t="inlineStr">
        <is>
          <t xml:space="preserve">   Specimen: Platelet-Rich Plasma   |   Container: Sodium Citrate (Blue top) — 9:1 ratio   |   Volume: 4.5 mL</t>
        </is>
      </c>
    </row>
    <row r="279" ht="18" customHeight="1">
      <c r="A279" s="5" t="inlineStr"/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>
        <is>
          <t>Parameter</t>
        </is>
      </c>
      <c r="L279" s="5" t="inlineStr">
        <is>
          <t>Unit</t>
        </is>
      </c>
      <c r="M279" s="5" t="inlineStr">
        <is>
          <t>Normal Range (Male)</t>
        </is>
      </c>
      <c r="N279" s="5" t="inlineStr">
        <is>
          <t>Normal Range (Female)</t>
        </is>
      </c>
      <c r="O279" s="5" t="inlineStr">
        <is>
          <t>Normal Range (Paediatric)</t>
        </is>
      </c>
      <c r="P279" s="5" t="inlineStr">
        <is>
          <t>Critical Values / Clinical Significance</t>
        </is>
      </c>
    </row>
    <row r="280" ht="32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7" t="inlineStr">
        <is>
          <t>Platelet Aggregation with ADP</t>
        </is>
      </c>
      <c r="L280" s="6" t="inlineStr">
        <is>
          <t>% maximum aggregation</t>
        </is>
      </c>
      <c r="M280" s="6" t="inlineStr">
        <is>
          <t>≥ 65%</t>
        </is>
      </c>
      <c r="N280" s="6" t="inlineStr">
        <is>
          <t>≥ 65%</t>
        </is>
      </c>
      <c r="O280" s="6" t="inlineStr">
        <is>
          <t>—</t>
        </is>
      </c>
      <c r="P280" s="6" t="inlineStr">
        <is>
          <t>CRIT &lt; 30% = platelet hyporesponsiveness | Low = P2Y12 inhibitors (clopidogrel, ticagrelor) effect; Used to monitor anti-platelet therapy</t>
        </is>
      </c>
    </row>
    <row r="281" ht="32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10" t="inlineStr">
        <is>
          <t>Platelet Aggregation with Arachidonic Acid</t>
        </is>
      </c>
      <c r="L281" s="9" t="inlineStr">
        <is>
          <t xml:space="preserve">% </t>
        </is>
      </c>
      <c r="M281" s="9" t="inlineStr">
        <is>
          <t>≥ 65%</t>
        </is>
      </c>
      <c r="N281" s="9" t="inlineStr">
        <is>
          <t>≥ 65%</t>
        </is>
      </c>
      <c r="O281" s="9" t="inlineStr">
        <is>
          <t>—</t>
        </is>
      </c>
      <c r="P281" s="9" t="inlineStr">
        <is>
          <t>Low = aspirin effect; Inhibition confirms COX-1 inhibition by aspirin</t>
        </is>
      </c>
    </row>
    <row r="282" ht="32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7" t="inlineStr">
        <is>
          <t>Platelet Aggregation with Collagen</t>
        </is>
      </c>
      <c r="L282" s="6" t="inlineStr">
        <is>
          <t xml:space="preserve">% </t>
        </is>
      </c>
      <c r="M282" s="6" t="inlineStr">
        <is>
          <t>≥ 65%</t>
        </is>
      </c>
      <c r="N282" s="6" t="inlineStr">
        <is>
          <t>≥ 65%</t>
        </is>
      </c>
      <c r="O282" s="6" t="inlineStr">
        <is>
          <t>—</t>
        </is>
      </c>
      <c r="P282" s="6" t="inlineStr">
        <is>
          <t>Low = platelet dysfunction, VWD, Glanzmann thrombasthenia</t>
        </is>
      </c>
    </row>
    <row r="283" ht="32" customHeight="1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10" t="inlineStr">
        <is>
          <t>Platelet Aggregation with Epinephrine</t>
        </is>
      </c>
      <c r="L283" s="9" t="inlineStr">
        <is>
          <t xml:space="preserve">% </t>
        </is>
      </c>
      <c r="M283" s="9" t="inlineStr">
        <is>
          <t>≥ 65%</t>
        </is>
      </c>
      <c r="N283" s="9" t="inlineStr">
        <is>
          <t>≥ 65%</t>
        </is>
      </c>
      <c r="O283" s="9" t="inlineStr">
        <is>
          <t>—</t>
        </is>
      </c>
      <c r="P283" s="9" t="inlineStr">
        <is>
          <t>Low = aspirin effect, storage pool disease; secondary wave loss = aspirin</t>
        </is>
      </c>
    </row>
    <row r="284" ht="32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7" t="inlineStr">
        <is>
          <t>Platelet Aggregation with Ristocetin (RIPA)</t>
        </is>
      </c>
      <c r="L284" s="6" t="inlineStr">
        <is>
          <t xml:space="preserve">% </t>
        </is>
      </c>
      <c r="M284" s="6" t="inlineStr">
        <is>
          <t>≥ 65%</t>
        </is>
      </c>
      <c r="N284" s="6" t="inlineStr">
        <is>
          <t>≥ 65%</t>
        </is>
      </c>
      <c r="O284" s="6" t="inlineStr">
        <is>
          <t>—</t>
        </is>
      </c>
      <c r="P284" s="6" t="inlineStr">
        <is>
          <t>Low = von Willebrand disease, Bernard-Soulier syndrome (GPIb deficiency). No aggregation = type 3 VWD or BSS</t>
        </is>
      </c>
    </row>
    <row r="285" ht="6" customHeight="1">
      <c r="A285" s="8" t="n"/>
    </row>
    <row r="286" ht="22" customHeight="1">
      <c r="A286" s="3" t="inlineStr">
        <is>
          <t xml:space="preserve">  [160]  PLT  —  Platelets Count  |  Dept: Clotting  |  Price: Rs 500  |  Fasting: No  |  TAT: 2 hrs</t>
        </is>
      </c>
    </row>
    <row r="287" ht="18" customHeight="1">
      <c r="A287" s="4" t="inlineStr">
        <is>
          <t xml:space="preserve">   Specimen: Whole Blood   |   Container: EDTA (Purple top)   |   Volume: 2 mL</t>
        </is>
      </c>
    </row>
    <row r="288" ht="18" customHeight="1">
      <c r="A288" s="5" t="inlineStr"/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>
        <is>
          <t>Parameter</t>
        </is>
      </c>
      <c r="L288" s="5" t="inlineStr">
        <is>
          <t>Unit</t>
        </is>
      </c>
      <c r="M288" s="5" t="inlineStr">
        <is>
          <t>Normal Range (Male)</t>
        </is>
      </c>
      <c r="N288" s="5" t="inlineStr">
        <is>
          <t>Normal Range (Female)</t>
        </is>
      </c>
      <c r="O288" s="5" t="inlineStr">
        <is>
          <t>Normal Range (Paediatric)</t>
        </is>
      </c>
      <c r="P288" s="5" t="inlineStr">
        <is>
          <t>Critical Values / Clinical Significance</t>
        </is>
      </c>
    </row>
    <row r="289" ht="32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7" t="inlineStr">
        <is>
          <t>Platelet Count</t>
        </is>
      </c>
      <c r="L289" s="6" t="inlineStr">
        <is>
          <t>×10³/µL (×10⁹/L)</t>
        </is>
      </c>
      <c r="M289" s="6" t="inlineStr">
        <is>
          <t>150–400</t>
        </is>
      </c>
      <c r="N289" s="6" t="inlineStr">
        <is>
          <t>150–400</t>
        </is>
      </c>
      <c r="O289" s="6" t="inlineStr">
        <is>
          <t>150–400</t>
        </is>
      </c>
      <c r="P289" s="6" t="inlineStr">
        <is>
          <t>CRIT &lt; 50 (spontaneous bleeding risk) or &lt; 20 (critical) | Low = ITP, DIC, TTP, drugs, hypersplenism, viral infections; High = reactive thrombocytosis, essential thrombocythaemia, iron deficiency</t>
        </is>
      </c>
    </row>
    <row r="290" ht="32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10" t="inlineStr">
        <is>
          <t>Mean Platelet Volume (MPV)</t>
        </is>
      </c>
      <c r="L290" s="9" t="inlineStr">
        <is>
          <t>fL</t>
        </is>
      </c>
      <c r="M290" s="9" t="inlineStr">
        <is>
          <t>7.5–12.5</t>
        </is>
      </c>
      <c r="N290" s="9" t="inlineStr">
        <is>
          <t>7.5–12.5</t>
        </is>
      </c>
      <c r="O290" s="9" t="inlineStr">
        <is>
          <t>7.5–12.5</t>
        </is>
      </c>
      <c r="P290" s="9" t="inlineStr">
        <is>
          <t>Elevated MPV = platelet destruction (ITP, DIC) — large young platelets; Low MPV = bone marrow failure, aplasia</t>
        </is>
      </c>
    </row>
    <row r="291" ht="6" customHeight="1">
      <c r="A291" s="8" t="n"/>
    </row>
    <row r="292" ht="22" customHeight="1">
      <c r="A292" s="3" t="inlineStr">
        <is>
          <t xml:space="preserve">  [161]  PT  —  Prothrombin Time (PT/INR)  |  Dept: Clotting  |  Price: Rs 1,000  |  Fasting: No  |  TAT: 2 hrs</t>
        </is>
      </c>
    </row>
    <row r="293" ht="18" customHeight="1">
      <c r="A293" s="4" t="inlineStr">
        <is>
          <t xml:space="preserve">   Specimen: Plasma   |   Container: Sodium Citrate (Blue top) — 9:1 ratio EXACTLY   |   Volume: 2.7 mL</t>
        </is>
      </c>
    </row>
    <row r="294" ht="18" customHeight="1">
      <c r="A294" s="5" t="inlineStr"/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>
        <is>
          <t>Parameter</t>
        </is>
      </c>
      <c r="L294" s="5" t="inlineStr">
        <is>
          <t>Unit</t>
        </is>
      </c>
      <c r="M294" s="5" t="inlineStr">
        <is>
          <t>Normal Range (Male)</t>
        </is>
      </c>
      <c r="N294" s="5" t="inlineStr">
        <is>
          <t>Normal Range (Female)</t>
        </is>
      </c>
      <c r="O294" s="5" t="inlineStr">
        <is>
          <t>Normal Range (Paediatric)</t>
        </is>
      </c>
      <c r="P294" s="5" t="inlineStr">
        <is>
          <t>Critical Values / Clinical Significance</t>
        </is>
      </c>
    </row>
    <row r="295" ht="32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7" t="inlineStr">
        <is>
          <t>Prothrombin Time (PT)</t>
        </is>
      </c>
      <c r="L295" s="6" t="inlineStr">
        <is>
          <t>seconds</t>
        </is>
      </c>
      <c r="M295" s="6" t="inlineStr">
        <is>
          <t>11–13.5</t>
        </is>
      </c>
      <c r="N295" s="6" t="inlineStr">
        <is>
          <t>11–13.5</t>
        </is>
      </c>
      <c r="O295" s="6" t="inlineStr">
        <is>
          <t>11–14</t>
        </is>
      </c>
      <c r="P295" s="6" t="inlineStr">
        <is>
          <t>CRIT &gt; 30s | Prolonged = extrinsic/common pathway defects (factors I, II, V, VII, X), liver disease, vit K deficiency, warfarin, DIC</t>
        </is>
      </c>
    </row>
    <row r="296" ht="32" customHeight="1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10" t="inlineStr">
        <is>
          <t>INR (International Normalised Ratio)</t>
        </is>
      </c>
      <c r="L296" s="9" t="inlineStr">
        <is>
          <t>—</t>
        </is>
      </c>
      <c r="M296" s="9" t="inlineStr">
        <is>
          <t>0.8–1.2 (normal)</t>
        </is>
      </c>
      <c r="N296" s="9" t="inlineStr">
        <is>
          <t>0.8–1.2</t>
        </is>
      </c>
      <c r="O296" s="9" t="inlineStr">
        <is>
          <t>0.8–1.2</t>
        </is>
      </c>
      <c r="P296" s="9" t="inlineStr">
        <is>
          <t>CRIT &gt; 4.5 | Therapeutic range: warfarin for VTE = 2.0–3.0; mechanical heart valve = 2.5–3.5; &gt; 4.5 = reversal indicated (vit K / FFP)</t>
        </is>
      </c>
    </row>
    <row r="297" ht="32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7" t="inlineStr">
        <is>
          <t>PT % Activity</t>
        </is>
      </c>
      <c r="L297" s="6" t="inlineStr">
        <is>
          <t xml:space="preserve">% </t>
        </is>
      </c>
      <c r="M297" s="6" t="inlineStr">
        <is>
          <t>70–130%</t>
        </is>
      </c>
      <c r="N297" s="6" t="inlineStr">
        <is>
          <t>70–130%</t>
        </is>
      </c>
      <c r="O297" s="6" t="inlineStr">
        <is>
          <t>70–130%</t>
        </is>
      </c>
      <c r="P297" s="6" t="inlineStr">
        <is>
          <t>&lt; 50% = significant coagulopathy; &lt; 20% = severe liver failure; Used as liver synthetic function marker</t>
        </is>
      </c>
    </row>
    <row r="298" ht="6" customHeight="1">
      <c r="A298" s="8" t="n"/>
    </row>
    <row r="299" ht="22" customHeight="1">
      <c r="A299" s="3" t="inlineStr">
        <is>
          <t xml:space="preserve">  [162]  Rh  —  Rh Antibody (Indirect Coombs)  |  Dept: Clotting  |  Price: Rs 1,000  |  Fasting: No  |  TAT: 4 hrs</t>
        </is>
      </c>
    </row>
    <row r="300" ht="18" customHeight="1">
      <c r="A300" s="4" t="inlineStr">
        <is>
          <t xml:space="preserve">   Specimen: Serum   |   Container: Plain Red Top   |   Volume: 5 mL</t>
        </is>
      </c>
    </row>
    <row r="301" ht="18" customHeight="1">
      <c r="A301" s="5" t="inlineStr"/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>
        <is>
          <t>Parameter</t>
        </is>
      </c>
      <c r="L301" s="5" t="inlineStr">
        <is>
          <t>Unit</t>
        </is>
      </c>
      <c r="M301" s="5" t="inlineStr">
        <is>
          <t>Normal Range (Male)</t>
        </is>
      </c>
      <c r="N301" s="5" t="inlineStr">
        <is>
          <t>Normal Range (Female)</t>
        </is>
      </c>
      <c r="O301" s="5" t="inlineStr">
        <is>
          <t>Normal Range (Paediatric)</t>
        </is>
      </c>
      <c r="P301" s="5" t="inlineStr">
        <is>
          <t>Critical Values / Clinical Significance</t>
        </is>
      </c>
    </row>
    <row r="302" ht="32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7" t="inlineStr">
        <is>
          <t>Rh Antibody Screen (IAT)</t>
        </is>
      </c>
      <c r="L302" s="6" t="inlineStr">
        <is>
          <t>—</t>
        </is>
      </c>
      <c r="M302" s="6" t="inlineStr">
        <is>
          <t>Negative</t>
        </is>
      </c>
      <c r="N302" s="6" t="inlineStr">
        <is>
          <t>Negative</t>
        </is>
      </c>
      <c r="O302" s="6" t="inlineStr">
        <is>
          <t>Negative</t>
        </is>
      </c>
      <c r="P302" s="6" t="inlineStr">
        <is>
          <t>Positive = alloantibody present (anti-D, anti-C, anti-E, anti-K etc.) | Important in pregnancy (risk of HDN), pre-transfusion testing</t>
        </is>
      </c>
    </row>
    <row r="303" ht="32" customHeight="1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10" t="inlineStr">
        <is>
          <t>Antibody Titre (if positive)</t>
        </is>
      </c>
      <c r="L303" s="9" t="inlineStr">
        <is>
          <t>titre</t>
        </is>
      </c>
      <c r="M303" s="9" t="inlineStr">
        <is>
          <t>Negative</t>
        </is>
      </c>
      <c r="N303" s="9" t="inlineStr">
        <is>
          <t>Negative</t>
        </is>
      </c>
      <c r="O303" s="9" t="inlineStr">
        <is>
          <t>Negative</t>
        </is>
      </c>
      <c r="P303" s="9" t="inlineStr">
        <is>
          <t>Rising titre in pregnancy indicates severity of HDN risk; titre ≥ 1:16 = fetal surveillance indicated</t>
        </is>
      </c>
    </row>
    <row r="304" ht="6" customHeight="1">
      <c r="A304" s="8" t="n"/>
    </row>
    <row r="305" ht="22" customHeight="1">
      <c r="A305" s="3" t="inlineStr">
        <is>
          <t xml:space="preserve">  [163]  TT  —  Thrombin Time  |  Dept: Clotting  |  Price: Rs 1,200  |  Fasting: No  |  TAT: 4 hrs</t>
        </is>
      </c>
    </row>
    <row r="306" ht="18" customHeight="1">
      <c r="A306" s="4" t="inlineStr">
        <is>
          <t xml:space="preserve">   Specimen: Plasma   |   Container: Sodium Citrate (Blue top) — 9:1 ratio   |   Volume: 2.7 mL</t>
        </is>
      </c>
    </row>
    <row r="307" ht="18" customHeight="1">
      <c r="A307" s="5" t="inlineStr"/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>
        <is>
          <t>Parameter</t>
        </is>
      </c>
      <c r="L307" s="5" t="inlineStr">
        <is>
          <t>Unit</t>
        </is>
      </c>
      <c r="M307" s="5" t="inlineStr">
        <is>
          <t>Normal Range (Male)</t>
        </is>
      </c>
      <c r="N307" s="5" t="inlineStr">
        <is>
          <t>Normal Range (Female)</t>
        </is>
      </c>
      <c r="O307" s="5" t="inlineStr">
        <is>
          <t>Normal Range (Paediatric)</t>
        </is>
      </c>
      <c r="P307" s="5" t="inlineStr">
        <is>
          <t>Critical Values / Clinical Significance</t>
        </is>
      </c>
    </row>
    <row r="308" ht="32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7" t="inlineStr">
        <is>
          <t>Thrombin Time (TT)</t>
        </is>
      </c>
      <c r="L308" s="6" t="inlineStr">
        <is>
          <t>seconds</t>
        </is>
      </c>
      <c r="M308" s="6" t="inlineStr">
        <is>
          <t>14–21</t>
        </is>
      </c>
      <c r="N308" s="6" t="inlineStr">
        <is>
          <t>14–21</t>
        </is>
      </c>
      <c r="O308" s="6" t="inlineStr">
        <is>
          <t>14–21</t>
        </is>
      </c>
      <c r="P308" s="6" t="inlineStr">
        <is>
          <t>CRIT &gt; 60s | Prolonged = fibrinogen deficiency/dysfunction (dysfibrinogenaemia), DIC, heparin contamination, thrombin inhibitors (dabigatran), FDPs interference. Normal PT/aPTT with prolonged TT = heparin contamination or dysfibrinogenaemia</t>
        </is>
      </c>
    </row>
    <row r="309" ht="6" customHeight="1">
      <c r="A309" s="8" t="n"/>
    </row>
    <row r="310" ht="22" customHeight="1">
      <c r="A310" s="3" t="inlineStr">
        <is>
          <t xml:space="preserve">  [164]  CGT  —  Cytogenetics (Blood) Karyotyping  |  Dept: Cytogenetics  |  Price: Rs 8,500  |  Fasting: No  |  TAT: 14–21 days</t>
        </is>
      </c>
    </row>
    <row r="311" ht="18" customHeight="1">
      <c r="A311" s="4" t="inlineStr">
        <is>
          <t xml:space="preserve">   Specimen: Peripheral Blood   |   Container: Sodium Heparin (Green top)   |   Volume: 5 mL</t>
        </is>
      </c>
    </row>
    <row r="312" ht="18" customHeight="1">
      <c r="A312" s="5" t="inlineStr"/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>
        <is>
          <t>Parameter</t>
        </is>
      </c>
      <c r="L312" s="5" t="inlineStr">
        <is>
          <t>Unit</t>
        </is>
      </c>
      <c r="M312" s="5" t="inlineStr">
        <is>
          <t>Normal Range (Male)</t>
        </is>
      </c>
      <c r="N312" s="5" t="inlineStr">
        <is>
          <t>Normal Range (Female)</t>
        </is>
      </c>
      <c r="O312" s="5" t="inlineStr">
        <is>
          <t>Normal Range (Paediatric)</t>
        </is>
      </c>
      <c r="P312" s="5" t="inlineStr">
        <is>
          <t>Critical Values / Clinical Significance</t>
        </is>
      </c>
    </row>
    <row r="313" ht="32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7" t="inlineStr">
        <is>
          <t>Karyotype (G-banding)</t>
        </is>
      </c>
      <c r="L313" s="6" t="inlineStr">
        <is>
          <t>—</t>
        </is>
      </c>
      <c r="M313" s="6" t="inlineStr">
        <is>
          <t>46,XX (female)</t>
        </is>
      </c>
      <c r="N313" s="6" t="inlineStr">
        <is>
          <t>46,XX</t>
        </is>
      </c>
      <c r="O313" s="6" t="inlineStr">
        <is>
          <t>46,XY (male)</t>
        </is>
      </c>
      <c r="P313" s="6" t="inlineStr">
        <is>
          <t>Normal = 46 chromosomes | Trisomy 21 = Down syndrome; 45,X = Turner; 47,XXY = Klinefelter; translocations/deletions/inversions reported. Lymphocyte culture required — strict transport at RT</t>
        </is>
      </c>
    </row>
    <row r="314" ht="32" customHeight="1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10" t="inlineStr">
        <is>
          <t>Chromosome Count</t>
        </is>
      </c>
      <c r="L314" s="9" t="inlineStr">
        <is>
          <t>—</t>
        </is>
      </c>
      <c r="M314" s="9" t="inlineStr">
        <is>
          <t>46</t>
        </is>
      </c>
      <c r="N314" s="9" t="inlineStr">
        <is>
          <t>46</t>
        </is>
      </c>
      <c r="O314" s="9" t="inlineStr">
        <is>
          <t>46</t>
        </is>
      </c>
      <c r="P314" s="9" t="inlineStr">
        <is>
          <t>Hypodiploidy or hyperdiploidy = malignant transformation (leukaemia, lymphoma)</t>
        </is>
      </c>
    </row>
    <row r="315" ht="32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7" t="inlineStr">
        <is>
          <t>Structural Abnormalities</t>
        </is>
      </c>
      <c r="L315" s="6" t="inlineStr">
        <is>
          <t>—</t>
        </is>
      </c>
      <c r="M315" s="6" t="inlineStr">
        <is>
          <t>None</t>
        </is>
      </c>
      <c r="N315" s="6" t="inlineStr">
        <is>
          <t>None</t>
        </is>
      </c>
      <c r="O315" s="6" t="inlineStr">
        <is>
          <t>None</t>
        </is>
      </c>
      <c r="P315" s="6" t="inlineStr">
        <is>
          <t>Deletions, duplications, inversions, translocations reported as detected. FISH can be added for specific regions</t>
        </is>
      </c>
    </row>
    <row r="316" ht="6" customHeight="1">
      <c r="A316" s="8" t="n"/>
    </row>
    <row r="317" ht="22" customHeight="1">
      <c r="A317" s="3" t="inlineStr">
        <is>
          <t xml:space="preserve">  [165]  MOLG  —  Molecular Genetics for Aneuploidies (QF-PCR / FISH)  |  Dept: Cytogenetics  |  Price: Rs 8,500  |  Fasting: No  |  TAT: 3–5 days</t>
        </is>
      </c>
    </row>
    <row r="318" ht="18" customHeight="1">
      <c r="A318" s="4" t="inlineStr">
        <is>
          <t xml:space="preserve">   Specimen: Peripheral Blood or Amniotic Fluid   |   Container: EDTA (Purple top) or sterile container   |   Volume: 3–5 mL</t>
        </is>
      </c>
    </row>
    <row r="319" ht="18" customHeight="1">
      <c r="A319" s="5" t="inlineStr"/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>
        <is>
          <t>Parameter</t>
        </is>
      </c>
      <c r="L319" s="5" t="inlineStr">
        <is>
          <t>Unit</t>
        </is>
      </c>
      <c r="M319" s="5" t="inlineStr">
        <is>
          <t>Normal Range (Male)</t>
        </is>
      </c>
      <c r="N319" s="5" t="inlineStr">
        <is>
          <t>Normal Range (Female)</t>
        </is>
      </c>
      <c r="O319" s="5" t="inlineStr">
        <is>
          <t>Normal Range (Paediatric)</t>
        </is>
      </c>
      <c r="P319" s="5" t="inlineStr">
        <is>
          <t>Critical Values / Clinical Significance</t>
        </is>
      </c>
    </row>
    <row r="320" ht="32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7" t="inlineStr">
        <is>
          <t>Chromosomes 13, 18, 21 (QF-PCR)</t>
        </is>
      </c>
      <c r="L320" s="6" t="inlineStr">
        <is>
          <t>—</t>
        </is>
      </c>
      <c r="M320" s="6" t="inlineStr">
        <is>
          <t>Disomy (normal 2 copies)</t>
        </is>
      </c>
      <c r="N320" s="6" t="inlineStr">
        <is>
          <t>Disomy</t>
        </is>
      </c>
      <c r="O320" s="6" t="inlineStr">
        <is>
          <t>Disomy</t>
        </is>
      </c>
      <c r="P320" s="6" t="inlineStr">
        <is>
          <t>Trisomy 21 = Down syndrome; Trisomy 18 = Edwards; Trisomy 13 = Patau. Rapid prenatal aneuploidy screening</t>
        </is>
      </c>
    </row>
    <row r="321" ht="32" customHeight="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10" t="inlineStr">
        <is>
          <t>Sex Chromosomes X, Y</t>
        </is>
      </c>
      <c r="L321" s="9" t="inlineStr">
        <is>
          <t>—</t>
        </is>
      </c>
      <c r="M321" s="9" t="inlineStr">
        <is>
          <t>46,XY or 46,XX</t>
        </is>
      </c>
      <c r="N321" s="9" t="inlineStr">
        <is>
          <t>46,XX or 46,XY</t>
        </is>
      </c>
      <c r="O321" s="9" t="inlineStr">
        <is>
          <t>—</t>
        </is>
      </c>
      <c r="P321" s="9" t="inlineStr">
        <is>
          <t>45,X = Turner; 47,XXY = Klinefelter; 47,XYY = Jacob's; 47,XXX = Triple X</t>
        </is>
      </c>
    </row>
    <row r="322" ht="32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7" t="inlineStr">
        <is>
          <t>Overall Result</t>
        </is>
      </c>
      <c r="L322" s="6" t="inlineStr">
        <is>
          <t>—</t>
        </is>
      </c>
      <c r="M322" s="6" t="inlineStr">
        <is>
          <t>No aneuploidy detected</t>
        </is>
      </c>
      <c r="N322" s="6" t="inlineStr">
        <is>
          <t>No aneuploidy</t>
        </is>
      </c>
      <c r="O322" s="6" t="inlineStr">
        <is>
          <t>—</t>
        </is>
      </c>
      <c r="P322" s="6" t="inlineStr">
        <is>
          <t>Results reported as normal/abnormal with specific chromosome involved. Confirmatory karyotyping may be recommended</t>
        </is>
      </c>
    </row>
    <row r="323" ht="6" customHeight="1">
      <c r="A323" s="8" t="n"/>
    </row>
    <row r="324" ht="22" customHeight="1">
      <c r="A324" s="3" t="inlineStr">
        <is>
          <t xml:space="preserve">  [166]  AMPH  —  Urine Amphetamines  |  Dept: Drugs  |  Price: Rs 1,900  |  Fasting: No  |  TAT: 4 hrs</t>
        </is>
      </c>
    </row>
    <row r="325" ht="18" customHeight="1">
      <c r="A325" s="4" t="inlineStr">
        <is>
          <t xml:space="preserve">   Specimen: Urine (random)   |   Container: Plain urine container   |   Volume: 30 mL random</t>
        </is>
      </c>
    </row>
    <row r="326" ht="18" customHeight="1">
      <c r="A326" s="5" t="inlineStr"/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>
        <is>
          <t>Parameter</t>
        </is>
      </c>
      <c r="L326" s="5" t="inlineStr">
        <is>
          <t>Unit</t>
        </is>
      </c>
      <c r="M326" s="5" t="inlineStr">
        <is>
          <t>Normal Range (Male)</t>
        </is>
      </c>
      <c r="N326" s="5" t="inlineStr">
        <is>
          <t>Normal Range (Female)</t>
        </is>
      </c>
      <c r="O326" s="5" t="inlineStr">
        <is>
          <t>Normal Range (Paediatric)</t>
        </is>
      </c>
      <c r="P326" s="5" t="inlineStr">
        <is>
          <t>Critical Values / Clinical Significance</t>
        </is>
      </c>
    </row>
    <row r="327" ht="32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7" t="inlineStr">
        <is>
          <t>Amphetamines (qualitative screen)</t>
        </is>
      </c>
      <c r="L327" s="6" t="inlineStr">
        <is>
          <t>—</t>
        </is>
      </c>
      <c r="M327" s="6" t="inlineStr">
        <is>
          <t>Negative</t>
        </is>
      </c>
      <c r="N327" s="6" t="inlineStr">
        <is>
          <t>Negative</t>
        </is>
      </c>
      <c r="O327" s="6" t="inlineStr">
        <is>
          <t>Negative</t>
        </is>
      </c>
      <c r="P327" s="6" t="inlineStr">
        <is>
          <t>CRIT: Positive | Cutoff: 1000 ng/mL (SAMHSA). Detection window: 2–4 days. Positives must be confirmed by GC-MS/LC-MS/MS. False positives: pseudoephedrine, MDMA, bupropion, ranitidine</t>
        </is>
      </c>
    </row>
    <row r="328" ht="32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10" t="inlineStr">
        <is>
          <t>Methamphetamine (if differentiated)</t>
        </is>
      </c>
      <c r="L328" s="9" t="inlineStr">
        <is>
          <t>—</t>
        </is>
      </c>
      <c r="M328" s="9" t="inlineStr">
        <is>
          <t>Negative</t>
        </is>
      </c>
      <c r="N328" s="9" t="inlineStr">
        <is>
          <t>Negative</t>
        </is>
      </c>
      <c r="O328" s="9" t="inlineStr">
        <is>
          <t>Negative</t>
        </is>
      </c>
      <c r="P328" s="9" t="inlineStr">
        <is>
          <t>Detect window 3–5 days; chronic users up to 7 days. Cross-reactive compounds can give false positives on immunoassay</t>
        </is>
      </c>
    </row>
    <row r="329" ht="6" customHeight="1">
      <c r="A329" s="8" t="n"/>
    </row>
    <row r="330" ht="22" customHeight="1">
      <c r="A330" s="3" t="inlineStr">
        <is>
          <t xml:space="preserve">  [167]  BARBI  —  Urine Barbiturates  |  Dept: Drugs  |  Price: Rs 1,800  |  Fasting: No  |  TAT: 4 hrs</t>
        </is>
      </c>
    </row>
    <row r="331" ht="18" customHeight="1">
      <c r="A331" s="4" t="inlineStr">
        <is>
          <t xml:space="preserve">   Specimen: Urine (random)   |   Container: Plain urine container   |   Volume: 30 mL random</t>
        </is>
      </c>
    </row>
    <row r="332" ht="18" customHeight="1">
      <c r="A332" s="5" t="inlineStr"/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>
        <is>
          <t>Parameter</t>
        </is>
      </c>
      <c r="L332" s="5" t="inlineStr">
        <is>
          <t>Unit</t>
        </is>
      </c>
      <c r="M332" s="5" t="inlineStr">
        <is>
          <t>Normal Range (Male)</t>
        </is>
      </c>
      <c r="N332" s="5" t="inlineStr">
        <is>
          <t>Normal Range (Female)</t>
        </is>
      </c>
      <c r="O332" s="5" t="inlineStr">
        <is>
          <t>Normal Range (Paediatric)</t>
        </is>
      </c>
      <c r="P332" s="5" t="inlineStr">
        <is>
          <t>Critical Values / Clinical Significance</t>
        </is>
      </c>
    </row>
    <row r="333" ht="32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7" t="inlineStr">
        <is>
          <t>Barbiturates (qualitative screen)</t>
        </is>
      </c>
      <c r="L333" s="6" t="inlineStr">
        <is>
          <t>—</t>
        </is>
      </c>
      <c r="M333" s="6" t="inlineStr">
        <is>
          <t>Negative</t>
        </is>
      </c>
      <c r="N333" s="6" t="inlineStr">
        <is>
          <t>Negative</t>
        </is>
      </c>
      <c r="O333" s="6" t="inlineStr">
        <is>
          <t>Negative</t>
        </is>
      </c>
      <c r="P333" s="6" t="inlineStr">
        <is>
          <t>CRIT: Positive | Cutoff: 300 ng/mL. Detection window: short-acting (secobarbital) 24h; long-acting (phenobarbital) 2–3 wks. Confirm with GC-MS. Used in overdose workup</t>
        </is>
      </c>
    </row>
    <row r="334" ht="32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10" t="inlineStr">
        <is>
          <t>Phenobarbital (therapeutic if requested)</t>
        </is>
      </c>
      <c r="L334" s="9" t="inlineStr">
        <is>
          <t>µg/mL</t>
        </is>
      </c>
      <c r="M334" s="9" t="inlineStr">
        <is>
          <t>15–40 (therapeutic)</t>
        </is>
      </c>
      <c r="N334" s="9" t="inlineStr">
        <is>
          <t>15–40</t>
        </is>
      </c>
      <c r="O334" s="9" t="inlineStr">
        <is>
          <t>15–40</t>
        </is>
      </c>
      <c r="P334" s="9" t="inlineStr">
        <is>
          <t>CRIT &gt; 60 = toxic | Therapeutic monitoring for epilepsy; trough level before next dose</t>
        </is>
      </c>
    </row>
    <row r="335" ht="6" customHeight="1">
      <c r="A335" s="8" t="n"/>
    </row>
    <row r="336" ht="22" customHeight="1">
      <c r="A336" s="3" t="inlineStr">
        <is>
          <t xml:space="preserve">  [168]  BENZO  —  Benzodiazepines  |  Dept: Drugs  |  Price: Rs 1,800  |  Fasting: No  |  TAT: 4 hrs</t>
        </is>
      </c>
    </row>
    <row r="337" ht="18" customHeight="1">
      <c r="A337" s="4" t="inlineStr">
        <is>
          <t xml:space="preserve">   Specimen: Urine (random)   |   Container: Plain urine container   |   Volume: 30 mL random</t>
        </is>
      </c>
    </row>
    <row r="338" ht="18" customHeight="1">
      <c r="A338" s="5" t="inlineStr"/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>
        <is>
          <t>Parameter</t>
        </is>
      </c>
      <c r="L338" s="5" t="inlineStr">
        <is>
          <t>Unit</t>
        </is>
      </c>
      <c r="M338" s="5" t="inlineStr">
        <is>
          <t>Normal Range (Male)</t>
        </is>
      </c>
      <c r="N338" s="5" t="inlineStr">
        <is>
          <t>Normal Range (Female)</t>
        </is>
      </c>
      <c r="O338" s="5" t="inlineStr">
        <is>
          <t>Normal Range (Paediatric)</t>
        </is>
      </c>
      <c r="P338" s="5" t="inlineStr">
        <is>
          <t>Critical Values / Clinical Significance</t>
        </is>
      </c>
    </row>
    <row r="339" ht="32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7" t="inlineStr">
        <is>
          <t>Benzodiazepines (qualitative screen)</t>
        </is>
      </c>
      <c r="L339" s="6" t="inlineStr">
        <is>
          <t>—</t>
        </is>
      </c>
      <c r="M339" s="6" t="inlineStr">
        <is>
          <t>Negative</t>
        </is>
      </c>
      <c r="N339" s="6" t="inlineStr">
        <is>
          <t>Negative</t>
        </is>
      </c>
      <c r="O339" s="6" t="inlineStr">
        <is>
          <t>Negative</t>
        </is>
      </c>
      <c r="P339" s="6" t="inlineStr">
        <is>
          <t>CRIT: Positive | Cutoff: 200 ng/mL (oxazepam equivalent). Detection: short-acting (triazolam) 24h; long-acting (diazepam/clonazepam) up to 30 days in chronic use. Confirm with LC-MS/MS. False positives: sertraline, oxaprozin</t>
        </is>
      </c>
    </row>
    <row r="340" ht="6" customHeight="1">
      <c r="A340" s="8" t="n"/>
    </row>
    <row r="341" ht="22" customHeight="1">
      <c r="A341" s="3" t="inlineStr">
        <is>
          <t xml:space="preserve">  [169]  CANA  —  Urinary Cannabinoids (THC)  |  Dept: Drugs  |  Price: Rs 2,500  |  Fasting: No  |  TAT: 4 hrs</t>
        </is>
      </c>
    </row>
    <row r="342" ht="18" customHeight="1">
      <c r="A342" s="4" t="inlineStr">
        <is>
          <t xml:space="preserve">   Specimen: Urine (random)   |   Container: Plain urine container   |   Volume: 30 mL random</t>
        </is>
      </c>
    </row>
    <row r="343" ht="18" customHeight="1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>
        <is>
          <t>Parameter</t>
        </is>
      </c>
      <c r="L343" s="5" t="inlineStr">
        <is>
          <t>Unit</t>
        </is>
      </c>
      <c r="M343" s="5" t="inlineStr">
        <is>
          <t>Normal Range (Male)</t>
        </is>
      </c>
      <c r="N343" s="5" t="inlineStr">
        <is>
          <t>Normal Range (Female)</t>
        </is>
      </c>
      <c r="O343" s="5" t="inlineStr">
        <is>
          <t>Normal Range (Paediatric)</t>
        </is>
      </c>
      <c r="P343" s="5" t="inlineStr">
        <is>
          <t>Critical Values / Clinical Significance</t>
        </is>
      </c>
    </row>
    <row r="344" ht="32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7" t="inlineStr">
        <is>
          <t>Cannabis / THC metabolite (THCCOOH)</t>
        </is>
      </c>
      <c r="L344" s="6" t="inlineStr">
        <is>
          <t>—</t>
        </is>
      </c>
      <c r="M344" s="6" t="inlineStr">
        <is>
          <t>Negative</t>
        </is>
      </c>
      <c r="N344" s="6" t="inlineStr">
        <is>
          <t>Negative</t>
        </is>
      </c>
      <c r="O344" s="6" t="inlineStr">
        <is>
          <t>Negative</t>
        </is>
      </c>
      <c r="P344" s="6" t="inlineStr">
        <is>
          <t>CRIT: Positive | Cutoff: 50 ng/mL (SAMHSA). Detection: occasional use 3–4 days; daily use 10–15 days; chronic heavy use up to 30+ days. Confirm positive with GC-MS. CBD products can cause false positive at high doses</t>
        </is>
      </c>
    </row>
    <row r="345" ht="6" customHeight="1">
      <c r="A345" s="8" t="n"/>
    </row>
    <row r="346" ht="22" customHeight="1">
      <c r="A346" s="3" t="inlineStr">
        <is>
          <t xml:space="preserve">  [170]  COCAIN  —  Urine Cocaine (Qualitative)  |  Dept: Drugs  |  Price: Rs 2,200  |  Fasting: No  |  TAT: 4 hrs</t>
        </is>
      </c>
    </row>
    <row r="347" ht="18" customHeight="1">
      <c r="A347" s="4" t="inlineStr">
        <is>
          <t xml:space="preserve">   Specimen: Urine (random)   |   Container: Plain urine container   |   Volume: 30 mL random</t>
        </is>
      </c>
    </row>
    <row r="348" ht="18" customHeight="1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>
        <is>
          <t>Parameter</t>
        </is>
      </c>
      <c r="L348" s="5" t="inlineStr">
        <is>
          <t>Unit</t>
        </is>
      </c>
      <c r="M348" s="5" t="inlineStr">
        <is>
          <t>Normal Range (Male)</t>
        </is>
      </c>
      <c r="N348" s="5" t="inlineStr">
        <is>
          <t>Normal Range (Female)</t>
        </is>
      </c>
      <c r="O348" s="5" t="inlineStr">
        <is>
          <t>Normal Range (Paediatric)</t>
        </is>
      </c>
      <c r="P348" s="5" t="inlineStr">
        <is>
          <t>Critical Values / Clinical Significance</t>
        </is>
      </c>
    </row>
    <row r="349" ht="32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7" t="inlineStr">
        <is>
          <t>Cocaine / Benzoylecgonine metabolite</t>
        </is>
      </c>
      <c r="L349" s="6" t="inlineStr">
        <is>
          <t>—</t>
        </is>
      </c>
      <c r="M349" s="6" t="inlineStr">
        <is>
          <t>Negative</t>
        </is>
      </c>
      <c r="N349" s="6" t="inlineStr">
        <is>
          <t>Negative</t>
        </is>
      </c>
      <c r="O349" s="6" t="inlineStr">
        <is>
          <t>Negative</t>
        </is>
      </c>
      <c r="P349" s="6" t="inlineStr">
        <is>
          <t>CRIT: Positive | Cutoff: 300 ng/mL (SAMHSA). Detection window: 2–4 days (metabolite benzoylecgonine). Confirm all positives with GC-MS/LC-MS/MS. False positives: rare with immunoassay</t>
        </is>
      </c>
    </row>
    <row r="350" ht="6" customHeight="1">
      <c r="A350" s="8" t="n"/>
    </row>
    <row r="351" ht="22" customHeight="1">
      <c r="A351" s="3" t="inlineStr">
        <is>
          <t xml:space="preserve">  [171]  COCQ  —  Cocaine Urine (Quantitative)  |  Dept: Drugs  |  Price: Rs 2,300  |  Fasting: No  |  TAT: 48 hrs</t>
        </is>
      </c>
    </row>
    <row r="352" ht="18" customHeight="1">
      <c r="A352" s="4" t="inlineStr">
        <is>
          <t xml:space="preserve">   Specimen: Urine (random)   |   Container: Plain urine container   |   Volume: 30 mL random</t>
        </is>
      </c>
    </row>
    <row r="353" ht="18" customHeight="1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>
        <is>
          <t>Parameter</t>
        </is>
      </c>
      <c r="L353" s="5" t="inlineStr">
        <is>
          <t>Unit</t>
        </is>
      </c>
      <c r="M353" s="5" t="inlineStr">
        <is>
          <t>Normal Range (Male)</t>
        </is>
      </c>
      <c r="N353" s="5" t="inlineStr">
        <is>
          <t>Normal Range (Female)</t>
        </is>
      </c>
      <c r="O353" s="5" t="inlineStr">
        <is>
          <t>Normal Range (Paediatric)</t>
        </is>
      </c>
      <c r="P353" s="5" t="inlineStr">
        <is>
          <t>Critical Values / Clinical Significance</t>
        </is>
      </c>
    </row>
    <row r="354" ht="32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7" t="inlineStr">
        <is>
          <t>Benzoylecgonine (Cocaine metabolite) — quantitative</t>
        </is>
      </c>
      <c r="L354" s="6" t="inlineStr">
        <is>
          <t>ng/mL</t>
        </is>
      </c>
      <c r="M354" s="6" t="inlineStr">
        <is>
          <t>&lt; 300 (cutoff)</t>
        </is>
      </c>
      <c r="N354" s="6" t="inlineStr">
        <is>
          <t>&lt; 300</t>
        </is>
      </c>
      <c r="O354" s="6" t="inlineStr">
        <is>
          <t>—</t>
        </is>
      </c>
      <c r="P354" s="6" t="inlineStr">
        <is>
          <t>Quantitative result for medico-legal confirmation. Result reported as ng/mL. Used for employment screening, forensic cases and legal proceedings. GC-MS/LC-MS/MS confirmatory method</t>
        </is>
      </c>
    </row>
    <row r="355" ht="32" customHeight="1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10" t="inlineStr">
        <is>
          <t>Cocaine (parent compound)</t>
        </is>
      </c>
      <c r="L355" s="9" t="inlineStr">
        <is>
          <t>ng/mL</t>
        </is>
      </c>
      <c r="M355" s="9" t="inlineStr">
        <is>
          <t>Not detected</t>
        </is>
      </c>
      <c r="N355" s="9" t="inlineStr">
        <is>
          <t>Not detected</t>
        </is>
      </c>
      <c r="O355" s="9" t="inlineStr">
        <is>
          <t>—</t>
        </is>
      </c>
      <c r="P355" s="9" t="inlineStr">
        <is>
          <t>Parent compound rapidly metabolised; rarely detected. Metabolite (benzoylecgonine) is primary analyte for detection</t>
        </is>
      </c>
    </row>
    <row r="356" ht="6" customHeight="1">
      <c r="A356" s="8" t="n"/>
    </row>
    <row r="357" ht="22" customHeight="1">
      <c r="A357" s="3" t="inlineStr">
        <is>
          <t xml:space="preserve">  [172]  DOAP  —  Drug of Abuse Profile (Multi-Panel Screen)  |  Dept: Drugs  |  Price: Rs 5,500  |  Fasting: No  |  TAT: 4 hrs</t>
        </is>
      </c>
    </row>
    <row r="358" ht="18" customHeight="1">
      <c r="A358" s="4" t="inlineStr">
        <is>
          <t xml:space="preserve">   Specimen: Urine (random)   |   Container: Plain urine container   |   Volume: 50 mL random</t>
        </is>
      </c>
    </row>
    <row r="359" ht="18" customHeight="1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>
        <is>
          <t>Parameter</t>
        </is>
      </c>
      <c r="L359" s="5" t="inlineStr">
        <is>
          <t>Unit</t>
        </is>
      </c>
      <c r="M359" s="5" t="inlineStr">
        <is>
          <t>Normal Range (Male)</t>
        </is>
      </c>
      <c r="N359" s="5" t="inlineStr">
        <is>
          <t>Normal Range (Female)</t>
        </is>
      </c>
      <c r="O359" s="5" t="inlineStr">
        <is>
          <t>Normal Range (Paediatric)</t>
        </is>
      </c>
      <c r="P359" s="5" t="inlineStr">
        <is>
          <t>Critical Values / Clinical Significance</t>
        </is>
      </c>
    </row>
    <row r="360" ht="32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7" t="inlineStr">
        <is>
          <t>Amphetamines</t>
        </is>
      </c>
      <c r="L360" s="6" t="inlineStr">
        <is>
          <t>—</t>
        </is>
      </c>
      <c r="M360" s="6" t="inlineStr">
        <is>
          <t>Negative</t>
        </is>
      </c>
      <c r="N360" s="6" t="inlineStr">
        <is>
          <t>Negative</t>
        </is>
      </c>
      <c r="O360" s="6" t="inlineStr">
        <is>
          <t>Negative</t>
        </is>
      </c>
      <c r="P360" s="6" t="inlineStr">
        <is>
          <t>Cutoff 1000 ng/mL | Detection 2–4 days</t>
        </is>
      </c>
    </row>
    <row r="361" ht="32" customHeight="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10" t="inlineStr">
        <is>
          <t>Barbiturates</t>
        </is>
      </c>
      <c r="L361" s="9" t="inlineStr">
        <is>
          <t>—</t>
        </is>
      </c>
      <c r="M361" s="9" t="inlineStr">
        <is>
          <t>Negative</t>
        </is>
      </c>
      <c r="N361" s="9" t="inlineStr">
        <is>
          <t>Negative</t>
        </is>
      </c>
      <c r="O361" s="9" t="inlineStr">
        <is>
          <t>Negative</t>
        </is>
      </c>
      <c r="P361" s="9" t="inlineStr">
        <is>
          <t>Cutoff 300 ng/mL | Detection 24h–3 wks depending on type</t>
        </is>
      </c>
    </row>
    <row r="362" ht="32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7" t="inlineStr">
        <is>
          <t>Benzodiazepines</t>
        </is>
      </c>
      <c r="L362" s="6" t="inlineStr">
        <is>
          <t>—</t>
        </is>
      </c>
      <c r="M362" s="6" t="inlineStr">
        <is>
          <t>Negative</t>
        </is>
      </c>
      <c r="N362" s="6" t="inlineStr">
        <is>
          <t>Negative</t>
        </is>
      </c>
      <c r="O362" s="6" t="inlineStr">
        <is>
          <t>Negative</t>
        </is>
      </c>
      <c r="P362" s="6" t="inlineStr">
        <is>
          <t>Cutoff 200 ng/mL | Detection 24h–30 days depending on agent</t>
        </is>
      </c>
    </row>
    <row r="363" ht="32" customHeight="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10" t="inlineStr">
        <is>
          <t>Cannabinoids (THC)</t>
        </is>
      </c>
      <c r="L363" s="9" t="inlineStr">
        <is>
          <t>—</t>
        </is>
      </c>
      <c r="M363" s="9" t="inlineStr">
        <is>
          <t>Negative</t>
        </is>
      </c>
      <c r="N363" s="9" t="inlineStr">
        <is>
          <t>Negative</t>
        </is>
      </c>
      <c r="O363" s="9" t="inlineStr">
        <is>
          <t>Negative</t>
        </is>
      </c>
      <c r="P363" s="9" t="inlineStr">
        <is>
          <t>Cutoff 50 ng/mL | Detection 3–30+ days (dose-dependent)</t>
        </is>
      </c>
    </row>
    <row r="364" ht="32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7" t="inlineStr">
        <is>
          <t>Cocaine / Benzoylecgonine</t>
        </is>
      </c>
      <c r="L364" s="6" t="inlineStr">
        <is>
          <t>—</t>
        </is>
      </c>
      <c r="M364" s="6" t="inlineStr">
        <is>
          <t>Negative</t>
        </is>
      </c>
      <c r="N364" s="6" t="inlineStr">
        <is>
          <t>Negative</t>
        </is>
      </c>
      <c r="O364" s="6" t="inlineStr">
        <is>
          <t>Negative</t>
        </is>
      </c>
      <c r="P364" s="6" t="inlineStr">
        <is>
          <t>Cutoff 300 ng/mL | Detection 2–4 days</t>
        </is>
      </c>
    </row>
    <row r="365" ht="32" customHeight="1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10" t="inlineStr">
        <is>
          <t>Opiates (Morphine/Codeine)</t>
        </is>
      </c>
      <c r="L365" s="9" t="inlineStr">
        <is>
          <t>—</t>
        </is>
      </c>
      <c r="M365" s="9" t="inlineStr">
        <is>
          <t>Negative</t>
        </is>
      </c>
      <c r="N365" s="9" t="inlineStr">
        <is>
          <t>Negative</t>
        </is>
      </c>
      <c r="O365" s="9" t="inlineStr">
        <is>
          <t>Negative</t>
        </is>
      </c>
      <c r="P365" s="9" t="inlineStr">
        <is>
          <t>Cutoff 300 ng/mL | Detection 2–4 days</t>
        </is>
      </c>
    </row>
    <row r="366" ht="32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7" t="inlineStr">
        <is>
          <t>Methadone</t>
        </is>
      </c>
      <c r="L366" s="6" t="inlineStr">
        <is>
          <t>—</t>
        </is>
      </c>
      <c r="M366" s="6" t="inlineStr">
        <is>
          <t>Negative</t>
        </is>
      </c>
      <c r="N366" s="6" t="inlineStr">
        <is>
          <t>Negative</t>
        </is>
      </c>
      <c r="O366" s="6" t="inlineStr">
        <is>
          <t>Negative</t>
        </is>
      </c>
      <c r="P366" s="6" t="inlineStr">
        <is>
          <t>Cutoff 300 ng/mL | Detection 2–4 days</t>
        </is>
      </c>
    </row>
    <row r="367" ht="32" customHeight="1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10" t="inlineStr">
        <is>
          <t>Phencyclidine (PCP)</t>
        </is>
      </c>
      <c r="L367" s="9" t="inlineStr">
        <is>
          <t>—</t>
        </is>
      </c>
      <c r="M367" s="9" t="inlineStr">
        <is>
          <t>Negative</t>
        </is>
      </c>
      <c r="N367" s="9" t="inlineStr">
        <is>
          <t>Negative</t>
        </is>
      </c>
      <c r="O367" s="9" t="inlineStr">
        <is>
          <t>Negative</t>
        </is>
      </c>
      <c r="P367" s="9" t="inlineStr">
        <is>
          <t>Cutoff 25 ng/mL | Detection 7–14 days</t>
        </is>
      </c>
    </row>
    <row r="368" ht="32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7" t="inlineStr">
        <is>
          <t>All results — final interpretation</t>
        </is>
      </c>
      <c r="L368" s="6" t="inlineStr">
        <is>
          <t>—</t>
        </is>
      </c>
      <c r="M368" s="6" t="inlineStr">
        <is>
          <t>All Negative</t>
        </is>
      </c>
      <c r="N368" s="6" t="inlineStr">
        <is>
          <t>All Negative</t>
        </is>
      </c>
      <c r="O368" s="6" t="inlineStr">
        <is>
          <t>All Negative</t>
        </is>
      </c>
      <c r="P368" s="6" t="inlineStr">
        <is>
          <t>Any positive screen MUST be confirmed by GC-MS or LC-MS/MS before medico-legal reporting. Chain of custody required for forensic specimens</t>
        </is>
      </c>
    </row>
    <row r="369" ht="6" customHeight="1">
      <c r="A369" s="8" t="n"/>
    </row>
    <row r="370" ht="22" customHeight="1">
      <c r="A370" s="3" t="inlineStr">
        <is>
          <t xml:space="preserve">  [173]  UOP  —  Urine Opiates (Morphine)  |  Dept: Drugs  |  Price: Rs 2,100  |  Fasting: No  |  TAT: 4 hrs</t>
        </is>
      </c>
    </row>
    <row r="371" ht="18" customHeight="1">
      <c r="A371" s="4" t="inlineStr">
        <is>
          <t xml:space="preserve">   Specimen: Urine (random)   |   Container: Plain urine container   |   Volume: 30 mL random</t>
        </is>
      </c>
    </row>
    <row r="372" ht="18" customHeight="1">
      <c r="A372" s="5" t="inlineStr"/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>
        <is>
          <t>Parameter</t>
        </is>
      </c>
      <c r="L372" s="5" t="inlineStr">
        <is>
          <t>Unit</t>
        </is>
      </c>
      <c r="M372" s="5" t="inlineStr">
        <is>
          <t>Normal Range (Male)</t>
        </is>
      </c>
      <c r="N372" s="5" t="inlineStr">
        <is>
          <t>Normal Range (Female)</t>
        </is>
      </c>
      <c r="O372" s="5" t="inlineStr">
        <is>
          <t>Normal Range (Paediatric)</t>
        </is>
      </c>
      <c r="P372" s="5" t="inlineStr">
        <is>
          <t>Critical Values / Clinical Significance</t>
        </is>
      </c>
    </row>
    <row r="373" ht="32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7" t="inlineStr">
        <is>
          <t>Opiates / Morphine (qualitative screen)</t>
        </is>
      </c>
      <c r="L373" s="6" t="inlineStr">
        <is>
          <t>—</t>
        </is>
      </c>
      <c r="M373" s="6" t="inlineStr">
        <is>
          <t>Negative</t>
        </is>
      </c>
      <c r="N373" s="6" t="inlineStr">
        <is>
          <t>Negative</t>
        </is>
      </c>
      <c r="O373" s="6" t="inlineStr">
        <is>
          <t>Negative</t>
        </is>
      </c>
      <c r="P373" s="6" t="inlineStr">
        <is>
          <t>CRIT: Positive | Cutoff: 300 ng/mL (SAMHSA). Detection: 2–4 days. Cross-reacts with codeine, heroin (metabolises to morphine), hydromorphone. Confirm with GC-MS/LC-MS/MS</t>
        </is>
      </c>
    </row>
    <row r="374" ht="32" customHeight="1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10" t="inlineStr">
        <is>
          <t>Morphine (specific if confirmed)</t>
        </is>
      </c>
      <c r="L374" s="9" t="inlineStr">
        <is>
          <t>ng/mL</t>
        </is>
      </c>
      <c r="M374" s="9" t="inlineStr">
        <is>
          <t>Not detected</t>
        </is>
      </c>
      <c r="N374" s="9" t="inlineStr">
        <is>
          <t>Not detected</t>
        </is>
      </c>
      <c r="O374" s="9" t="inlineStr">
        <is>
          <t>—</t>
        </is>
      </c>
      <c r="P374" s="9" t="inlineStr">
        <is>
          <t>Heroin use confirmed by presence of 6-monoacetylmorphine (6-MAM) — specific heroin marker, detectable 6–8h post-use</t>
        </is>
      </c>
    </row>
    <row r="375" ht="6" customHeight="1">
      <c r="A375" s="8" t="n"/>
    </row>
  </sheetData>
  <mergeCells count="181">
    <mergeCell ref="A85:P85"/>
    <mergeCell ref="A278:P278"/>
    <mergeCell ref="A309:P309"/>
    <mergeCell ref="A259:P259"/>
    <mergeCell ref="A253:P253"/>
    <mergeCell ref="A135:P135"/>
    <mergeCell ref="A109:P109"/>
    <mergeCell ref="A35:P35"/>
    <mergeCell ref="A311:P311"/>
    <mergeCell ref="A19:P19"/>
    <mergeCell ref="A68:P68"/>
    <mergeCell ref="A190:P190"/>
    <mergeCell ref="A28:P28"/>
    <mergeCell ref="A117:P117"/>
    <mergeCell ref="A111:P111"/>
    <mergeCell ref="A9:P9"/>
    <mergeCell ref="A245:P245"/>
    <mergeCell ref="A39:P39"/>
    <mergeCell ref="A127:P127"/>
    <mergeCell ref="A232:P232"/>
    <mergeCell ref="A59:P59"/>
    <mergeCell ref="A142:P142"/>
    <mergeCell ref="A103:P103"/>
    <mergeCell ref="A225:P225"/>
    <mergeCell ref="A61:P61"/>
    <mergeCell ref="A153:P153"/>
    <mergeCell ref="A346:P346"/>
    <mergeCell ref="A227:P227"/>
    <mergeCell ref="A316:P316"/>
    <mergeCell ref="A128:P128"/>
    <mergeCell ref="A177:P177"/>
    <mergeCell ref="A208:P208"/>
    <mergeCell ref="A330:P330"/>
    <mergeCell ref="A89:P89"/>
    <mergeCell ref="A145:P145"/>
    <mergeCell ref="A26:P26"/>
    <mergeCell ref="A272:P272"/>
    <mergeCell ref="A179:P179"/>
    <mergeCell ref="A129:P129"/>
    <mergeCell ref="A71:P71"/>
    <mergeCell ref="A76:P76"/>
    <mergeCell ref="A203:P203"/>
    <mergeCell ref="A116:P116"/>
    <mergeCell ref="A8:P8"/>
    <mergeCell ref="A91:P91"/>
    <mergeCell ref="A184:P184"/>
    <mergeCell ref="A244:P244"/>
    <mergeCell ref="A371:P371"/>
    <mergeCell ref="A140:P140"/>
    <mergeCell ref="A171:P171"/>
    <mergeCell ref="A231:P231"/>
    <mergeCell ref="A165:P165"/>
    <mergeCell ref="A324:P324"/>
    <mergeCell ref="A336:P336"/>
    <mergeCell ref="A342:P342"/>
    <mergeCell ref="A299:P299"/>
    <mergeCell ref="A115:P115"/>
    <mergeCell ref="A155:P155"/>
    <mergeCell ref="A293:P293"/>
    <mergeCell ref="A102:P102"/>
    <mergeCell ref="A77:P77"/>
    <mergeCell ref="A34:P34"/>
    <mergeCell ref="A352:P352"/>
    <mergeCell ref="A276:P276"/>
    <mergeCell ref="A310:P310"/>
    <mergeCell ref="A166:P166"/>
    <mergeCell ref="A337:P337"/>
    <mergeCell ref="A350:P350"/>
    <mergeCell ref="A49:P49"/>
    <mergeCell ref="A325:P325"/>
    <mergeCell ref="A207:P207"/>
    <mergeCell ref="A300:P300"/>
    <mergeCell ref="A1:P1"/>
    <mergeCell ref="A45:P45"/>
    <mergeCell ref="A287:P287"/>
    <mergeCell ref="A370:P370"/>
    <mergeCell ref="A78:P78"/>
    <mergeCell ref="A271:P271"/>
    <mergeCell ref="A345:P345"/>
    <mergeCell ref="A133:P133"/>
    <mergeCell ref="A317:P317"/>
    <mergeCell ref="A255:P255"/>
    <mergeCell ref="A264:P264"/>
    <mergeCell ref="A233:P233"/>
    <mergeCell ref="A369:P369"/>
    <mergeCell ref="A273:P273"/>
    <mergeCell ref="A120:P120"/>
    <mergeCell ref="A356:P356"/>
    <mergeCell ref="A21:P21"/>
    <mergeCell ref="A248:P248"/>
    <mergeCell ref="A104:P104"/>
    <mergeCell ref="A14:P14"/>
    <mergeCell ref="A185:P185"/>
    <mergeCell ref="A298:P298"/>
    <mergeCell ref="A219:P219"/>
    <mergeCell ref="A4:P4"/>
    <mergeCell ref="A38:P38"/>
    <mergeCell ref="A209:P209"/>
    <mergeCell ref="A147:P147"/>
    <mergeCell ref="A43:P43"/>
    <mergeCell ref="A170:P170"/>
    <mergeCell ref="A202:P202"/>
    <mergeCell ref="A40:P40"/>
    <mergeCell ref="A67:P67"/>
    <mergeCell ref="A220:P220"/>
    <mergeCell ref="A201:P201"/>
    <mergeCell ref="A340:P340"/>
    <mergeCell ref="A250:P250"/>
    <mergeCell ref="A197:P197"/>
    <mergeCell ref="A110:P110"/>
    <mergeCell ref="A146:P146"/>
    <mergeCell ref="A237:P237"/>
    <mergeCell ref="A16:P16"/>
    <mergeCell ref="A221:P221"/>
    <mergeCell ref="A196:P196"/>
    <mergeCell ref="A183:P183"/>
    <mergeCell ref="A84:P84"/>
    <mergeCell ref="A66:P66"/>
    <mergeCell ref="A189:P189"/>
    <mergeCell ref="A158:P158"/>
    <mergeCell ref="A238:P238"/>
    <mergeCell ref="A351:P351"/>
    <mergeCell ref="A50:P50"/>
    <mergeCell ref="A3:P3"/>
    <mergeCell ref="A86:P86"/>
    <mergeCell ref="A239:P239"/>
    <mergeCell ref="A213:P213"/>
    <mergeCell ref="A160:P160"/>
    <mergeCell ref="A331:P331"/>
    <mergeCell ref="A141:P141"/>
    <mergeCell ref="A254:P254"/>
    <mergeCell ref="A263:P263"/>
    <mergeCell ref="A159:P159"/>
    <mergeCell ref="A122:P122"/>
    <mergeCell ref="A97:P97"/>
    <mergeCell ref="A215:P215"/>
    <mergeCell ref="A20:P20"/>
    <mergeCell ref="A72:P72"/>
    <mergeCell ref="A318:P318"/>
    <mergeCell ref="A134:P134"/>
    <mergeCell ref="A265:P265"/>
    <mergeCell ref="A323:P323"/>
    <mergeCell ref="A121:P121"/>
    <mergeCell ref="A357:P357"/>
    <mergeCell ref="A44:P44"/>
    <mergeCell ref="A249:P249"/>
    <mergeCell ref="A258:P258"/>
    <mergeCell ref="A347:P347"/>
    <mergeCell ref="A329:P329"/>
    <mergeCell ref="A304:P304"/>
    <mergeCell ref="A15:P15"/>
    <mergeCell ref="A98:P98"/>
    <mergeCell ref="A73:P73"/>
    <mergeCell ref="A191:P191"/>
    <mergeCell ref="A51:P51"/>
    <mergeCell ref="A226:P226"/>
    <mergeCell ref="A178:P178"/>
    <mergeCell ref="A60:P60"/>
    <mergeCell ref="A260:P260"/>
    <mergeCell ref="A291:P291"/>
    <mergeCell ref="A358:P358"/>
    <mergeCell ref="A7:P7"/>
    <mergeCell ref="A90:P90"/>
    <mergeCell ref="A172:P172"/>
    <mergeCell ref="A243:P243"/>
    <mergeCell ref="A305:P305"/>
    <mergeCell ref="A99:P99"/>
    <mergeCell ref="A164:P164"/>
    <mergeCell ref="A277:P277"/>
    <mergeCell ref="A292:P292"/>
    <mergeCell ref="A335:P335"/>
    <mergeCell ref="A286:P286"/>
    <mergeCell ref="A375:P375"/>
    <mergeCell ref="A27:P27"/>
    <mergeCell ref="A154:P154"/>
    <mergeCell ref="A214:P214"/>
    <mergeCell ref="A285:P285"/>
    <mergeCell ref="A341:P341"/>
    <mergeCell ref="A306:P306"/>
    <mergeCell ref="A195:P195"/>
    <mergeCell ref="A33:P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2026-03-14T07:49:17Z</dcterms:created>
  <dcterms:modified xmlns:dcterms="http://purl.org/dc/terms/" xmlns:xsi="http://www.w3.org/2001/XMLSchema-instance" xsi:type="dcterms:W3CDTF">2026-03-14T07:49:18Z</dcterms:modified>
</cp:coreProperties>
</file>